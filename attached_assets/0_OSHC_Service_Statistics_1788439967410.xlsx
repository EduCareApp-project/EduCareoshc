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/Library/CloudStorage/GoogleDrive-matt@elysiumoshc.com.au/My Drive/1 EOSHC 27 154 062 254/Elysium OSHC - Head Office/0 Services/Tender/"/>
    </mc:Choice>
  </mc:AlternateContent>
  <xr:revisionPtr revIDLastSave="0" documentId="13_ncr:1_{89E313AE-07FD-3D40-BC05-F81EBF861060}" xr6:coauthVersionLast="47" xr6:coauthVersionMax="47" xr10:uidLastSave="{00000000-0000-0000-0000-000000000000}"/>
  <bookViews>
    <workbookView xWindow="1920" yWindow="600" windowWidth="41320" windowHeight="22780" xr2:uid="{2D8C517C-BB52-E041-91A5-D44F7403D66A}"/>
  </bookViews>
  <sheets>
    <sheet name="School Copy (print)" sheetId="1" r:id="rId1"/>
    <sheet name="OSHC Data" sheetId="2" r:id="rId2"/>
    <sheet name="VAC Ave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2" i="2" l="1"/>
  <c r="H36" i="1" s="1"/>
  <c r="M22" i="2"/>
  <c r="H35" i="1" s="1"/>
  <c r="M21" i="2"/>
  <c r="I35" i="1" s="1"/>
  <c r="B21" i="2"/>
  <c r="I24" i="1" s="1"/>
  <c r="H24" i="1"/>
  <c r="S26" i="1"/>
  <c r="S27" i="1"/>
  <c r="S28" i="1"/>
  <c r="S29" i="1"/>
  <c r="S30" i="1"/>
  <c r="S31" i="1"/>
  <c r="S25" i="1"/>
  <c r="S24" i="1"/>
  <c r="R26" i="1"/>
  <c r="R27" i="1"/>
  <c r="R28" i="1"/>
  <c r="R29" i="1"/>
  <c r="R30" i="1"/>
  <c r="R31" i="1"/>
  <c r="R25" i="1"/>
  <c r="R24" i="1"/>
  <c r="Q26" i="1"/>
  <c r="Q27" i="1"/>
  <c r="Q28" i="1"/>
  <c r="Q29" i="1"/>
  <c r="Q30" i="1"/>
  <c r="Q31" i="1"/>
  <c r="Q25" i="1"/>
  <c r="Q24" i="1"/>
  <c r="P26" i="1"/>
  <c r="P27" i="1"/>
  <c r="P28" i="1"/>
  <c r="P29" i="1"/>
  <c r="P30" i="1"/>
  <c r="P31" i="1"/>
  <c r="P25" i="1"/>
  <c r="P24" i="1"/>
  <c r="O26" i="1"/>
  <c r="O27" i="1"/>
  <c r="O28" i="1"/>
  <c r="O29" i="1"/>
  <c r="O30" i="1"/>
  <c r="O31" i="1"/>
  <c r="O25" i="1"/>
  <c r="O24" i="1"/>
  <c r="J12" i="1"/>
  <c r="J11" i="1"/>
  <c r="J10" i="1"/>
  <c r="J9" i="1"/>
  <c r="J8" i="1"/>
  <c r="B14" i="2"/>
  <c r="H8" i="1" s="1"/>
  <c r="B13" i="2"/>
  <c r="I8" i="1" s="1"/>
  <c r="J26" i="1"/>
  <c r="J27" i="1"/>
  <c r="J28" i="1"/>
  <c r="J30" i="1"/>
  <c r="J31" i="1"/>
  <c r="J32" i="1"/>
  <c r="J33" i="1"/>
  <c r="J34" i="1"/>
  <c r="J35" i="1"/>
  <c r="J36" i="1"/>
  <c r="J37" i="1"/>
  <c r="J39" i="1"/>
  <c r="J40" i="1"/>
  <c r="J41" i="1"/>
  <c r="J42" i="1"/>
  <c r="J43" i="1"/>
  <c r="J25" i="1"/>
  <c r="B23" i="2"/>
  <c r="J24" i="1" s="1"/>
  <c r="W21" i="2"/>
  <c r="I45" i="1" s="1"/>
  <c r="V21" i="2"/>
  <c r="I44" i="1" s="1"/>
  <c r="U21" i="2"/>
  <c r="I43" i="1" s="1"/>
  <c r="T21" i="2"/>
  <c r="S21" i="2"/>
  <c r="R21" i="2"/>
  <c r="I40" i="1" s="1"/>
  <c r="Q21" i="2"/>
  <c r="I39" i="1" s="1"/>
  <c r="P21" i="2"/>
  <c r="I38" i="1" s="1"/>
  <c r="O21" i="2"/>
  <c r="I37" i="1" s="1"/>
  <c r="N21" i="2"/>
  <c r="I36" i="1" s="1"/>
  <c r="W22" i="2"/>
  <c r="H45" i="1" s="1"/>
  <c r="V22" i="2"/>
  <c r="H44" i="1" s="1"/>
  <c r="U22" i="2"/>
  <c r="H43" i="1" s="1"/>
  <c r="T22" i="2"/>
  <c r="H42" i="1" s="1"/>
  <c r="S22" i="2"/>
  <c r="H41" i="1" s="1"/>
  <c r="R22" i="2"/>
  <c r="H40" i="1" s="1"/>
  <c r="Q22" i="2"/>
  <c r="H39" i="1" s="1"/>
  <c r="P22" i="2"/>
  <c r="H38" i="1" s="1"/>
  <c r="O22" i="2"/>
  <c r="H37" i="1" s="1"/>
  <c r="L22" i="2"/>
  <c r="H34" i="1" s="1"/>
  <c r="L21" i="2"/>
  <c r="I34" i="1" s="1"/>
  <c r="K22" i="2"/>
  <c r="H33" i="1" s="1"/>
  <c r="J22" i="2"/>
  <c r="H32" i="1" s="1"/>
  <c r="I22" i="2"/>
  <c r="H31" i="1" s="1"/>
  <c r="H22" i="2"/>
  <c r="H30" i="1" s="1"/>
  <c r="G22" i="2"/>
  <c r="H29" i="1" s="1"/>
  <c r="F22" i="2"/>
  <c r="H28" i="1" s="1"/>
  <c r="E22" i="2"/>
  <c r="H27" i="1" s="1"/>
  <c r="D22" i="2"/>
  <c r="H26" i="1" s="1"/>
  <c r="C22" i="2"/>
  <c r="H25" i="1" s="1"/>
  <c r="B22" i="2"/>
  <c r="K21" i="2"/>
  <c r="I33" i="1" s="1"/>
  <c r="J21" i="2"/>
  <c r="I32" i="1" s="1"/>
  <c r="I21" i="2"/>
  <c r="I31" i="1" s="1"/>
  <c r="H21" i="2"/>
  <c r="I30" i="1" s="1"/>
  <c r="G21" i="2"/>
  <c r="I29" i="1" s="1"/>
  <c r="F21" i="2"/>
  <c r="I28" i="1" s="1"/>
  <c r="E21" i="2"/>
  <c r="I27" i="1" s="1"/>
  <c r="D21" i="2"/>
  <c r="I26" i="1" s="1"/>
  <c r="C21" i="2"/>
  <c r="I25" i="1" s="1"/>
  <c r="F13" i="2"/>
  <c r="I12" i="1" s="1"/>
  <c r="J14" i="3"/>
  <c r="L14" i="3" s="1"/>
  <c r="J17" i="3"/>
  <c r="L17" i="3" s="1"/>
  <c r="J16" i="3"/>
  <c r="L16" i="3" s="1"/>
  <c r="J15" i="3"/>
  <c r="L15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7" i="3"/>
  <c r="L7" i="3" s="1"/>
  <c r="J6" i="3"/>
  <c r="L6" i="3" s="1"/>
  <c r="N25" i="1"/>
  <c r="N26" i="1"/>
  <c r="N27" i="1"/>
  <c r="N28" i="1"/>
  <c r="N29" i="1"/>
  <c r="N30" i="1"/>
  <c r="N31" i="1"/>
  <c r="N24" i="1"/>
  <c r="F14" i="2"/>
  <c r="H12" i="1" s="1"/>
  <c r="E14" i="2"/>
  <c r="H11" i="1" s="1"/>
  <c r="D14" i="2"/>
  <c r="H10" i="1" s="1"/>
  <c r="C14" i="2"/>
  <c r="H9" i="1" s="1"/>
  <c r="H14" i="1" s="1"/>
  <c r="E13" i="2"/>
  <c r="I11" i="1" s="1"/>
  <c r="D13" i="2"/>
  <c r="I10" i="1" s="1"/>
  <c r="C13" i="2"/>
  <c r="I9" i="1" s="1"/>
  <c r="I14" i="1" s="1"/>
  <c r="I42" i="1" l="1"/>
  <c r="I41" i="1"/>
  <c r="S12" i="1"/>
  <c r="S11" i="1"/>
  <c r="S9" i="1"/>
  <c r="S8" i="1"/>
  <c r="S10" i="1"/>
</calcChain>
</file>

<file path=xl/sharedStrings.xml><?xml version="1.0" encoding="utf-8"?>
<sst xmlns="http://schemas.openxmlformats.org/spreadsheetml/2006/main" count="225" uniqueCount="60">
  <si>
    <t>OSHC SERVICE STATISTICS - MAHOGANY RISE PRIMARY SCHOOL</t>
  </si>
  <si>
    <t>AVERAGE USAGE PER DAY</t>
  </si>
  <si>
    <t>PUPIL FREE DAY</t>
  </si>
  <si>
    <t>AFTER SCHOOL</t>
  </si>
  <si>
    <t>BEFORE SCHOOL</t>
  </si>
  <si>
    <t>MONDAY</t>
  </si>
  <si>
    <t>TUESDAY</t>
  </si>
  <si>
    <t>WEDNESDAY</t>
  </si>
  <si>
    <t>THURSDAY</t>
  </si>
  <si>
    <t>FRIDAY</t>
  </si>
  <si>
    <t>AVERAGE USAGE BY 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</si>
  <si>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</si>
  <si>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</si>
  <si>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</si>
  <si>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</si>
  <si>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</si>
  <si>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</si>
  <si>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</si>
  <si>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</si>
  <si>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</si>
  <si>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</si>
  <si>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</si>
  <si>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r>
      <rPr>
        <b/>
        <sz val="12"/>
        <color theme="1"/>
        <rFont val="Aptos Narrow"/>
        <scheme val="minor"/>
      </rPr>
      <t>DATE RANGE:</t>
    </r>
    <r>
      <rPr>
        <sz val="12"/>
        <color theme="1"/>
        <rFont val="Aptos Narrow"/>
        <family val="2"/>
        <scheme val="minor"/>
      </rPr>
      <t xml:space="preserve"> 01/01/2026 - 30/06/2026</t>
    </r>
  </si>
  <si>
    <t>Daily Average</t>
  </si>
  <si>
    <t>Monday</t>
  </si>
  <si>
    <t>Tuesday</t>
  </si>
  <si>
    <t>Wednesday</t>
  </si>
  <si>
    <t>M</t>
  </si>
  <si>
    <t>T</t>
  </si>
  <si>
    <t>W</t>
  </si>
  <si>
    <t>TH</t>
  </si>
  <si>
    <t>F</t>
  </si>
  <si>
    <t>Before School Care</t>
  </si>
  <si>
    <t>After School Care</t>
  </si>
  <si>
    <t>Vacation Care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</si>
  <si>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</si>
  <si>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</si>
  <si>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</si>
  <si>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</si>
  <si>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</si>
  <si>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</si>
  <si>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</si>
  <si>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</si>
  <si>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</si>
  <si>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</si>
  <si>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</si>
  <si>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Average</t>
  </si>
  <si>
    <t>Thursday</t>
  </si>
  <si>
    <t>Pupil Free</t>
  </si>
  <si>
    <t>Weeks (Change Formula if data is 10 Weeks)</t>
  </si>
  <si>
    <t>Days Operated</t>
  </si>
  <si>
    <t>Final Calculation</t>
  </si>
  <si>
    <t>Week 12</t>
  </si>
  <si>
    <t>Pupil Free Days (Change Formula if data is 2 Day)</t>
  </si>
  <si>
    <t>6 MONTH REPORT</t>
  </si>
  <si>
    <t>BSC/ASC</t>
  </si>
  <si>
    <t>Weekly Average</t>
  </si>
  <si>
    <t>AVERAGE HOLIDAY PROGRAM USAGE BY DAY</t>
  </si>
  <si>
    <t>HOLIDAY PROGRAM DATA PER DAY</t>
  </si>
  <si>
    <t>Data provided by Elysium OSHC Pty Ltd for the Renewal Tender at Mahogany Rise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</si>
</sst>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5"/>
      <color theme="0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22222"/>
      <name val="Arial"/>
      <family val="2"/>
    </font>
    <font>
      <sz val="12"/>
      <color rgb="FF000000"/>
      <name val="Aptos Narrow"/>
    </font>
    <font>
      <b/>
      <sz val="10"/>
      <color theme="1"/>
      <name val="Aptos Narrow"/>
      <scheme val="minor"/>
    </font>
    <font>
      <sz val="12"/>
      <color rgb="FF000000"/>
      <name val="Aptos Narrow (Body)"/>
    </font>
    <font>
      <sz val="12"/>
      <color theme="1"/>
      <name val="Aptos Narrow (Body)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6" fillId="0" borderId="0" xfId="0" applyFont="1"/>
    <xf numFmtId="15" fontId="0" fillId="0" borderId="0" xfId="0" applyNumberForma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5" fontId="7" fillId="0" borderId="0" xfId="0" applyNumberFormat="1" applyFont="1" applyAlignment="1">
      <alignment horizontal="right"/>
    </xf>
    <xf numFmtId="15" fontId="7" fillId="0" borderId="0" xfId="0" applyNumberFormat="1" applyFont="1" applyAlignment="1">
      <alignment horizontal="right" vertical="center"/>
    </xf>
    <xf numFmtId="15" fontId="6" fillId="0" borderId="0" xfId="0" applyNumberFormat="1" applyFont="1"/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3" xfId="0" applyFill="1" applyBorder="1"/>
    <xf numFmtId="0" fontId="0" fillId="4" borderId="1" xfId="0" applyFill="1" applyBorder="1"/>
    <xf numFmtId="0" fontId="0" fillId="4" borderId="2" xfId="0" applyFill="1" applyBorder="1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" fillId="0" borderId="9" xfId="0" applyFont="1" applyBorder="1"/>
    <xf numFmtId="0" fontId="0" fillId="0" borderId="9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9" fillId="0" borderId="9" xfId="0" applyFont="1" applyBorder="1"/>
    <xf numFmtId="0" fontId="6" fillId="0" borderId="9" xfId="0" applyFont="1" applyBorder="1" applyAlignment="1">
      <alignment horizontal="center"/>
    </xf>
    <xf numFmtId="0" fontId="1" fillId="0" borderId="10" xfId="0" applyFont="1" applyBorder="1"/>
    <xf numFmtId="15" fontId="1" fillId="0" borderId="9" xfId="0" applyNumberFormat="1" applyFont="1" applyBorder="1"/>
    <xf numFmtId="0" fontId="0" fillId="0" borderId="9" xfId="0" applyBorder="1"/>
    <xf numFmtId="2" fontId="0" fillId="0" borderId="9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Holiday</a:t>
            </a:r>
            <a:r>
              <a:rPr lang="en-GB" baseline="0"/>
              <a:t> </a:t>
            </a:r>
            <a:r>
              <a:rPr lang="en-GB"/>
              <a:t>Usage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81-7148-BB8A-B82B301B91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81-7148-BB8A-B82B301B91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81-7148-BB8A-B82B301B91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81-7148-BB8A-B82B301B91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81-7148-BB8A-B82B301B91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'School Copy (print)'!$R$8:$R$12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'School Copy (print)'!$S$8:$S$12</c:f>
              <c:numCache>
                <c:formatCode>0.00</c:formatCode>
                <c:ptCount val="5"/>
                <c:pt idx="0">
                  <c:v>9.6666666666666661</c:v>
                </c:pt>
                <c:pt idx="1">
                  <c:v>9.4285714285714288</c:v>
                </c:pt>
                <c:pt idx="2">
                  <c:v>7.5</c:v>
                </c:pt>
                <c:pt idx="3">
                  <c:v>7.8571428571428568</c:v>
                </c:pt>
                <c:pt idx="4">
                  <c:v>8.7142857142857135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6-B444-BDAA-F158816A124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Daily Usage by Week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'School Copy (print)'!$H$23</c:f>
              <c:strCache>
                <c:ptCount val="1"/>
                <c:pt idx="0">
                  <c:v>BEFORE SCHOOL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'School Copy (print)'!$G$24:$G$43</c:f>
              <c:strCache>
                <c:ptCount val="2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</c:v>
                </c:pt>
                <c:pt idx="12">
                  <c:v>WEEK 2</c:v>
                </c:pt>
                <c:pt idx="13">
                  <c:v>WEEK 3</c:v>
                </c:pt>
                <c:pt idx="14">
                  <c:v>WEEK 4</c:v>
                </c:pt>
                <c:pt idx="15">
                  <c:v>WEEK 5</c:v>
                </c:pt>
                <c:pt idx="16">
                  <c:v>WEEK 6</c:v>
                </c:pt>
                <c:pt idx="17">
                  <c:v>WEEK 7</c:v>
                </c:pt>
                <c:pt idx="18">
                  <c:v>WEEK 8</c:v>
                </c:pt>
                <c:pt idx="19">
                  <c:v>WEEK 9</c:v>
                </c:pt>
              </c:strCache>
            </c:strRef>
          </c:cat>
          <c:val>
            <c:numRef>
              <c:f>'School Copy (print)'!$H$24:$H$43</c:f>
              <c:numCache>
                <c:formatCode>General</c:formatCode>
                <c:ptCount val="20"/>
                <c:pt idx="0">
                  <c:v>1.8</c:v>
                </c:pt>
                <c:pt idx="1">
                  <c:v>4.2</c:v>
                </c:pt>
                <c:pt idx="2">
                  <c:v>7.2</c:v>
                </c:pt>
                <c:pt idx="3">
                  <c:v>7.6</c:v>
                </c:pt>
                <c:pt idx="4">
                  <c:v>7</c:v>
                </c:pt>
                <c:pt idx="5">
                  <c:v>6.2</c:v>
                </c:pt>
                <c:pt idx="6">
                  <c:v>7.2</c:v>
                </c:pt>
                <c:pt idx="7">
                  <c:v>9</c:v>
                </c:pt>
                <c:pt idx="8">
                  <c:v>8.1999999999999993</c:v>
                </c:pt>
                <c:pt idx="9">
                  <c:v>6.6</c:v>
                </c:pt>
                <c:pt idx="10">
                  <c:v>0</c:v>
                </c:pt>
                <c:pt idx="11">
                  <c:v>7.4</c:v>
                </c:pt>
                <c:pt idx="12">
                  <c:v>6.2</c:v>
                </c:pt>
                <c:pt idx="13">
                  <c:v>5.6</c:v>
                </c:pt>
                <c:pt idx="14">
                  <c:v>5.2</c:v>
                </c:pt>
                <c:pt idx="15">
                  <c:v>6.4</c:v>
                </c:pt>
                <c:pt idx="16">
                  <c:v>7</c:v>
                </c:pt>
                <c:pt idx="17">
                  <c:v>6.2</c:v>
                </c:pt>
                <c:pt idx="18">
                  <c:v>4.5999999999999996</c:v>
                </c:pt>
                <c:pt idx="1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4-EF4A-88BD-52D93BEE042C}"/>
            </c:ext>
          </c:extLst>
        </c:ser>
        <c:ser>
          <c:idx val="1"/>
          <c:order val="1"/>
          <c:tx>
            <c:strRef>
              <c:f>'School Copy (print)'!$I$23</c:f>
              <c:strCache>
                <c:ptCount val="1"/>
                <c:pt idx="0">
                  <c:v>AFTER SCHOOL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'School Copy (print)'!$G$24:$G$43</c:f>
              <c:strCache>
                <c:ptCount val="2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</c:v>
                </c:pt>
                <c:pt idx="12">
                  <c:v>WEEK 2</c:v>
                </c:pt>
                <c:pt idx="13">
                  <c:v>WEEK 3</c:v>
                </c:pt>
                <c:pt idx="14">
                  <c:v>WEEK 4</c:v>
                </c:pt>
                <c:pt idx="15">
                  <c:v>WEEK 5</c:v>
                </c:pt>
                <c:pt idx="16">
                  <c:v>WEEK 6</c:v>
                </c:pt>
                <c:pt idx="17">
                  <c:v>WEEK 7</c:v>
                </c:pt>
                <c:pt idx="18">
                  <c:v>WEEK 8</c:v>
                </c:pt>
                <c:pt idx="19">
                  <c:v>WEEK 9</c:v>
                </c:pt>
              </c:strCache>
            </c:strRef>
          </c:cat>
          <c:val>
            <c:numRef>
              <c:f>'School Copy (print)'!$I$24:$I$43</c:f>
              <c:numCache>
                <c:formatCode>General</c:formatCode>
                <c:ptCount val="20"/>
                <c:pt idx="0">
                  <c:v>4.5999999999999996</c:v>
                </c:pt>
                <c:pt idx="1">
                  <c:v>7.6</c:v>
                </c:pt>
                <c:pt idx="2">
                  <c:v>7.6</c:v>
                </c:pt>
                <c:pt idx="3">
                  <c:v>8.1999999999999993</c:v>
                </c:pt>
                <c:pt idx="4">
                  <c:v>9</c:v>
                </c:pt>
                <c:pt idx="5">
                  <c:v>8.8000000000000007</c:v>
                </c:pt>
                <c:pt idx="6">
                  <c:v>9</c:v>
                </c:pt>
                <c:pt idx="7">
                  <c:v>10.4</c:v>
                </c:pt>
                <c:pt idx="8">
                  <c:v>10.199999999999999</c:v>
                </c:pt>
                <c:pt idx="9">
                  <c:v>9.6</c:v>
                </c:pt>
                <c:pt idx="10">
                  <c:v>0</c:v>
                </c:pt>
                <c:pt idx="11">
                  <c:v>13</c:v>
                </c:pt>
                <c:pt idx="12">
                  <c:v>10</c:v>
                </c:pt>
                <c:pt idx="13">
                  <c:v>11</c:v>
                </c:pt>
                <c:pt idx="14">
                  <c:v>9.4</c:v>
                </c:pt>
                <c:pt idx="15">
                  <c:v>12.4</c:v>
                </c:pt>
                <c:pt idx="16">
                  <c:v>10.4</c:v>
                </c:pt>
                <c:pt idx="17">
                  <c:v>7.2</c:v>
                </c:pt>
                <c:pt idx="18">
                  <c:v>7.2</c:v>
                </c:pt>
                <c:pt idx="19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4-EF4A-88BD-52D93BEE042C}"/>
            </c:ext>
          </c:extLst>
        </c:ser>
        <c:ser>
          <c:idx val="2"/>
          <c:order val="2"/>
          <c:tx>
            <c:strRef>
              <c:f>'School Copy (print)'!$J$23</c:f>
              <c:strCache>
                <c:ptCount val="1"/>
                <c:pt idx="0">
                  <c:v>PUPIL FREE 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'School Copy (print)'!$G$24:$G$43</c:f>
              <c:strCache>
                <c:ptCount val="2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</c:v>
                </c:pt>
                <c:pt idx="12">
                  <c:v>WEEK 2</c:v>
                </c:pt>
                <c:pt idx="13">
                  <c:v>WEEK 3</c:v>
                </c:pt>
                <c:pt idx="14">
                  <c:v>WEEK 4</c:v>
                </c:pt>
                <c:pt idx="15">
                  <c:v>WEEK 5</c:v>
                </c:pt>
                <c:pt idx="16">
                  <c:v>WEEK 6</c:v>
                </c:pt>
                <c:pt idx="17">
                  <c:v>WEEK 7</c:v>
                </c:pt>
                <c:pt idx="18">
                  <c:v>WEEK 8</c:v>
                </c:pt>
                <c:pt idx="19">
                  <c:v>WEEK 9</c:v>
                </c:pt>
              </c:strCache>
            </c:strRef>
          </c:cat>
          <c:val>
            <c:numRef>
              <c:f>'School Copy (print)'!$J$24:$J$43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4-EF4A-88BD-52D93BEE0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933311"/>
        <c:axId val="2139941823"/>
      </c:lineChart>
      <c:catAx>
        <c:axId val="213993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41823"/>
        <c:crosses val="autoZero"/>
        <c:auto val="1"/>
        <c:lblAlgn val="ctr"/>
        <c:lblOffset val="100"/>
        <c:noMultiLvlLbl val="0"/>
      </c:catAx>
      <c:valAx>
        <c:axId val="213994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3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Usage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'School Copy (print)'!$H$7</c:f>
              <c:strCache>
                <c:ptCount val="1"/>
                <c:pt idx="0">
                  <c:v>BEFORE SCHOOL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Copy (print)'!$G$8:$G$12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'School Copy (print)'!$H$8:$H$12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6.7</c:v>
                </c:pt>
                <c:pt idx="3">
                  <c:v>8.1999999999999993</c:v>
                </c:pt>
                <c:pt idx="4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E-BE48-A210-E4F419CF4A52}"/>
            </c:ext>
          </c:extLst>
        </c:ser>
        <c:ser>
          <c:idx val="1"/>
          <c:order val="1"/>
          <c:tx>
            <c:strRef>
              <c:f>'School Copy (print)'!$I$7</c:f>
              <c:strCache>
                <c:ptCount val="1"/>
                <c:pt idx="0">
                  <c:v>AFTER SCHOOL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'School Copy (print)'!$G$8:$G$12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'School Copy (print)'!$I$8:$I$12</c:f>
              <c:numCache>
                <c:formatCode>General</c:formatCode>
                <c:ptCount val="5"/>
                <c:pt idx="0">
                  <c:v>7.8</c:v>
                </c:pt>
                <c:pt idx="1">
                  <c:v>7.6</c:v>
                </c:pt>
                <c:pt idx="2">
                  <c:v>9.6</c:v>
                </c:pt>
                <c:pt idx="3">
                  <c:v>10.5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E-BE48-A210-E4F419CF4A52}"/>
            </c:ext>
          </c:extLst>
        </c:ser>
        <c:ser>
          <c:idx val="2"/>
          <c:order val="2"/>
          <c:tx>
            <c:strRef>
              <c:f>'School Copy (print)'!$J$7</c:f>
              <c:strCache>
                <c:ptCount val="1"/>
                <c:pt idx="0">
                  <c:v>PUPIL FREE 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'School Copy (print)'!$G$8:$G$12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'School Copy (print)'!$J$8:$J$12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CE-BE48-A210-E4F419CF4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093631"/>
        <c:axId val="2134496511"/>
      </c:barChart>
      <c:catAx>
        <c:axId val="211309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96511"/>
        <c:crosses val="autoZero"/>
        <c:auto val="1"/>
        <c:lblAlgn val="ctr"/>
        <c:lblOffset val="100"/>
        <c:noMultiLvlLbl val="0"/>
      </c:catAx>
      <c:valAx>
        <c:axId val="213449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5</xdr:row>
      <xdr:rowOff>184150</xdr:rowOff>
    </xdr:from>
    <xdr:to>
      <xdr:col>16</xdr:col>
      <xdr:colOff>482600</xdr:colOff>
      <xdr:row>19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84BCB-1B34-A42E-2245-D791C9FCF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6350</xdr:rowOff>
    </xdr:from>
    <xdr:to>
      <xdr:col>5</xdr:col>
      <xdr:colOff>673100</xdr:colOff>
      <xdr:row>42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655B34-E8FC-8D52-BFF4-02C71A0F8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177800</xdr:colOff>
      <xdr:row>5</xdr:row>
      <xdr:rowOff>184150</xdr:rowOff>
    </xdr:from>
    <xdr:to>
      <xdr:col>4</xdr:col>
      <xdr:colOff>419100</xdr:colOff>
      <xdr:row>19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5621AE-E4E2-A934-DEB9-AE76677F0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139700</xdr:colOff>
      <xdr:row>37</xdr:row>
      <xdr:rowOff>177801</xdr:rowOff>
    </xdr:from>
    <xdr:to>
      <xdr:col>17</xdr:col>
      <xdr:colOff>692670</xdr:colOff>
      <xdr:row>43</xdr:row>
      <xdr:rowOff>12701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00A2EAA-0B5B-B934-CB47-21C430D6B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66600" y="7937501"/>
          <a:ext cx="4680470" cy="105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6544-0E1D-9E4F-948B-28BB81B4B499}">
  <sheetPr>
    <pageSetUpPr fitToPage="1"/>
  </sheetPr>
  <dimension ref="A1:S45"/>
  <sheetViews>
    <sheetView tabSelected="1" workbookViewId="0">
      <selection activeCell="H51" sqref="H51"/>
    </sheetView>
  </sheetViews>
  <sheetFormatPr baseColWidth="10" defaultRowHeight="16" x14ac:dyDescent="0.2"/>
  <cols>
    <col min="1" max="1" width="24.33203125" bestFit="1" customWidth="1"/>
    <col min="7" max="7" width="13.1640625" bestFit="1" customWidth="1"/>
    <col min="8" max="8" width="15.5" bestFit="1" customWidth="1"/>
    <col min="9" max="10" width="14.5" bestFit="1" customWidth="1"/>
    <col min="19" max="19" width="11.6640625" bestFit="1" customWidth="1"/>
  </cols>
  <sheetData>
    <row r="1" spans="1:19" ht="27" x14ac:dyDescent="0.35">
      <c r="A1" s="2" t="s">
        <v>0</v>
      </c>
    </row>
    <row r="3" spans="1:19" x14ac:dyDescent="0.2">
      <c r="A3" s="1" t="s">
        <v>54</v>
      </c>
      <c r="G3" s="4" t="s">
        <v>22</v>
      </c>
    </row>
    <row r="5" spans="1:19" ht="20" x14ac:dyDescent="0.25">
      <c r="A5" s="36" t="s">
        <v>1</v>
      </c>
      <c r="B5" s="36"/>
      <c r="C5" s="36"/>
      <c r="D5" s="36"/>
      <c r="E5" s="36"/>
      <c r="F5" s="36"/>
      <c r="G5" s="36"/>
      <c r="H5" s="36"/>
      <c r="I5" s="36"/>
      <c r="J5" s="36"/>
      <c r="L5" s="36" t="s">
        <v>57</v>
      </c>
      <c r="M5" s="36"/>
      <c r="N5" s="36"/>
      <c r="O5" s="36"/>
      <c r="P5" s="36"/>
      <c r="Q5" s="36"/>
      <c r="R5" s="36"/>
      <c r="S5" s="36"/>
    </row>
    <row r="7" spans="1:19" x14ac:dyDescent="0.2">
      <c r="G7" s="4"/>
      <c r="H7" s="27" t="s">
        <v>4</v>
      </c>
      <c r="I7" s="27" t="s">
        <v>3</v>
      </c>
      <c r="J7" s="27" t="s">
        <v>2</v>
      </c>
    </row>
    <row r="8" spans="1:19" x14ac:dyDescent="0.2">
      <c r="G8" s="27" t="s">
        <v>5</v>
      </c>
      <c r="H8" s="31">
        <f>'OSHC Data'!B14</f>
        <v>5</v>
      </c>
      <c r="I8" s="31">
        <f>'OSHC Data'!B13</f>
        <v>7.8</v>
      </c>
      <c r="J8" s="31">
        <f>'OSHC Data'!B15</f>
        <v>0</v>
      </c>
      <c r="R8" s="27" t="s">
        <v>5</v>
      </c>
      <c r="S8" s="35">
        <f>(O24+O25+O26+O27+O28+O29+O30+O31)/6</f>
        <v>9.6666666666666661</v>
      </c>
    </row>
    <row r="9" spans="1:19" x14ac:dyDescent="0.2">
      <c r="G9" s="27" t="s">
        <v>6</v>
      </c>
      <c r="H9" s="31">
        <f>'OSHC Data'!C14</f>
        <v>6</v>
      </c>
      <c r="I9" s="31">
        <f>'OSHC Data'!C13</f>
        <v>7.6</v>
      </c>
      <c r="J9" s="31">
        <f>'OSHC Data'!C15</f>
        <v>0</v>
      </c>
      <c r="R9" s="27" t="s">
        <v>6</v>
      </c>
      <c r="S9" s="35">
        <f>(P24+P25+P26+P27+P28+P29+P30+P31)/7</f>
        <v>9.4285714285714288</v>
      </c>
    </row>
    <row r="10" spans="1:19" x14ac:dyDescent="0.2">
      <c r="G10" s="27" t="s">
        <v>7</v>
      </c>
      <c r="H10" s="31">
        <f>'OSHC Data'!D14</f>
        <v>6.7</v>
      </c>
      <c r="I10" s="31">
        <f>'OSHC Data'!D13</f>
        <v>9.6</v>
      </c>
      <c r="J10" s="31">
        <f>'OSHC Data'!D15</f>
        <v>11</v>
      </c>
      <c r="R10" s="27" t="s">
        <v>7</v>
      </c>
      <c r="S10" s="35">
        <f>(Q24+Q25+Q26+Q27+Q28+Q29+Q30+Q31)/8</f>
        <v>7.5</v>
      </c>
    </row>
    <row r="11" spans="1:19" x14ac:dyDescent="0.2">
      <c r="G11" s="27" t="s">
        <v>8</v>
      </c>
      <c r="H11" s="31">
        <f>'OSHC Data'!E14</f>
        <v>8.1999999999999993</v>
      </c>
      <c r="I11" s="31">
        <f>'OSHC Data'!E13</f>
        <v>10.5</v>
      </c>
      <c r="J11" s="31">
        <f>'OSHC Data'!E15</f>
        <v>0</v>
      </c>
      <c r="R11" s="27" t="s">
        <v>8</v>
      </c>
      <c r="S11" s="35">
        <f>(R24+R25+R26+R27+R28+R29+R30+R31)/7</f>
        <v>7.8571428571428568</v>
      </c>
    </row>
    <row r="12" spans="1:19" x14ac:dyDescent="0.2">
      <c r="G12" s="27" t="s">
        <v>9</v>
      </c>
      <c r="H12" s="31">
        <f>'OSHC Data'!F14</f>
        <v>6.6</v>
      </c>
      <c r="I12" s="31">
        <f>'OSHC Data'!F13</f>
        <v>7</v>
      </c>
      <c r="J12" s="31">
        <f>'OSHC Data'!F15</f>
        <v>11</v>
      </c>
      <c r="R12" s="27" t="s">
        <v>9</v>
      </c>
      <c r="S12" s="35">
        <f>(S24+S25+S26+S27+S28+S29+S30+S31)/7</f>
        <v>8.7142857142857135</v>
      </c>
    </row>
    <row r="14" spans="1:19" x14ac:dyDescent="0.2">
      <c r="G14" s="40" t="s">
        <v>46</v>
      </c>
      <c r="H14" s="28">
        <f>AVERAGE(H8:H12)</f>
        <v>6.5</v>
      </c>
      <c r="I14" s="28">
        <f>AVERAGE(I8:I12)</f>
        <v>8.5</v>
      </c>
      <c r="J14" s="28">
        <v>11</v>
      </c>
    </row>
    <row r="16" spans="1:19" x14ac:dyDescent="0.2">
      <c r="N16" s="5"/>
    </row>
    <row r="21" spans="1:19" ht="20" x14ac:dyDescent="0.25">
      <c r="A21" s="36" t="s">
        <v>10</v>
      </c>
      <c r="B21" s="36"/>
      <c r="C21" s="36"/>
      <c r="D21" s="36"/>
      <c r="E21" s="36"/>
      <c r="F21" s="36"/>
      <c r="G21" s="36"/>
      <c r="H21" s="36"/>
      <c r="I21" s="36"/>
      <c r="J21" s="36"/>
      <c r="L21" s="36" t="s">
        <v>58</v>
      </c>
      <c r="M21" s="36"/>
      <c r="N21" s="36"/>
      <c r="O21" s="36"/>
      <c r="P21" s="36"/>
      <c r="Q21" s="36"/>
      <c r="R21" s="36"/>
      <c r="S21" s="36"/>
    </row>
    <row r="23" spans="1:19" x14ac:dyDescent="0.2">
      <c r="H23" s="30" t="s">
        <v>4</v>
      </c>
      <c r="I23" s="30" t="s">
        <v>3</v>
      </c>
      <c r="J23" s="30" t="s">
        <v>2</v>
      </c>
      <c r="O23" s="32" t="s">
        <v>5</v>
      </c>
      <c r="P23" s="32" t="s">
        <v>6</v>
      </c>
      <c r="Q23" s="32" t="s">
        <v>7</v>
      </c>
      <c r="R23" s="32" t="s">
        <v>8</v>
      </c>
      <c r="S23" s="32" t="s">
        <v>9</v>
      </c>
    </row>
    <row r="24" spans="1:19" x14ac:dyDescent="0.2">
      <c r="G24" s="27" t="s">
        <v>11</v>
      </c>
      <c r="H24" s="28">
        <f>'OSHC Data'!B22</f>
        <v>1.8</v>
      </c>
      <c r="I24" s="28">
        <f>'OSHC Data'!B21</f>
        <v>4.5999999999999996</v>
      </c>
      <c r="J24" s="28">
        <f>'OSHC Data'!B23</f>
        <v>0</v>
      </c>
      <c r="N24" s="33">
        <f>'VAC Average'!A6</f>
        <v>46033</v>
      </c>
      <c r="O24" s="34">
        <f>'VAC Average'!B6</f>
        <v>8</v>
      </c>
      <c r="P24" s="34">
        <f>'VAC Average'!C6</f>
        <v>6</v>
      </c>
      <c r="Q24" s="34">
        <f>'VAC Average'!D6</f>
        <v>7</v>
      </c>
      <c r="R24" s="34">
        <f>'VAC Average'!E6</f>
        <v>6</v>
      </c>
      <c r="S24" s="34">
        <f>'VAC Average'!F6</f>
        <v>7</v>
      </c>
    </row>
    <row r="25" spans="1:19" x14ac:dyDescent="0.2">
      <c r="G25" s="27" t="s">
        <v>12</v>
      </c>
      <c r="H25" s="28">
        <f>'OSHC Data'!C22</f>
        <v>4.2</v>
      </c>
      <c r="I25" s="28">
        <f>'OSHC Data'!C21</f>
        <v>7.6</v>
      </c>
      <c r="J25" s="28">
        <f>'OSHC Data'!C23</f>
        <v>0</v>
      </c>
      <c r="N25" s="33">
        <f>'VAC Average'!A7</f>
        <v>46040</v>
      </c>
      <c r="O25" s="34">
        <f>'VAC Average'!B7</f>
        <v>7</v>
      </c>
      <c r="P25" s="34">
        <f>'VAC Average'!C7</f>
        <v>7</v>
      </c>
      <c r="Q25" s="34">
        <f>'VAC Average'!D7</f>
        <v>9</v>
      </c>
      <c r="R25" s="34">
        <f>'VAC Average'!E7</f>
        <v>8</v>
      </c>
      <c r="S25" s="34">
        <f>'VAC Average'!F7</f>
        <v>8</v>
      </c>
    </row>
    <row r="26" spans="1:19" x14ac:dyDescent="0.2">
      <c r="G26" s="27" t="s">
        <v>13</v>
      </c>
      <c r="H26" s="28">
        <f>'OSHC Data'!D22</f>
        <v>7.2</v>
      </c>
      <c r="I26" s="28">
        <f>'OSHC Data'!D21</f>
        <v>7.6</v>
      </c>
      <c r="J26" s="28">
        <f>'OSHC Data'!B25</f>
        <v>0</v>
      </c>
      <c r="N26" s="33">
        <f>'VAC Average'!A8</f>
        <v>46047</v>
      </c>
      <c r="O26" s="34">
        <f>'VAC Average'!B8</f>
        <v>10</v>
      </c>
      <c r="P26" s="34">
        <f>'VAC Average'!C8</f>
        <v>9</v>
      </c>
      <c r="Q26" s="34">
        <f>'VAC Average'!D8</f>
        <v>11</v>
      </c>
      <c r="R26" s="34">
        <f>'VAC Average'!E8</f>
        <v>9</v>
      </c>
      <c r="S26" s="34">
        <f>'VAC Average'!F8</f>
        <v>10</v>
      </c>
    </row>
    <row r="27" spans="1:19" x14ac:dyDescent="0.2">
      <c r="G27" s="27" t="s">
        <v>14</v>
      </c>
      <c r="H27" s="28">
        <f>'OSHC Data'!E22</f>
        <v>7.6</v>
      </c>
      <c r="I27" s="28">
        <f>'OSHC Data'!E21</f>
        <v>8.1999999999999993</v>
      </c>
      <c r="J27" s="28">
        <f>'OSHC Data'!C25</f>
        <v>0</v>
      </c>
      <c r="N27" s="33">
        <f>'VAC Average'!A9</f>
        <v>46054</v>
      </c>
      <c r="O27" s="34">
        <f>'VAC Average'!B9</f>
        <v>0</v>
      </c>
      <c r="P27" s="34">
        <f>'VAC Average'!C9</f>
        <v>5</v>
      </c>
      <c r="Q27" s="34">
        <f>'VAC Average'!D9</f>
        <v>0</v>
      </c>
      <c r="R27" s="34">
        <f>'VAC Average'!E9</f>
        <v>0</v>
      </c>
      <c r="S27" s="34">
        <f>'VAC Average'!F9</f>
        <v>0</v>
      </c>
    </row>
    <row r="28" spans="1:19" x14ac:dyDescent="0.2">
      <c r="G28" s="27" t="s">
        <v>15</v>
      </c>
      <c r="H28" s="28">
        <f>'OSHC Data'!F22</f>
        <v>7</v>
      </c>
      <c r="I28" s="28">
        <f>'OSHC Data'!F21</f>
        <v>9</v>
      </c>
      <c r="J28" s="28">
        <f>'OSHC Data'!B27</f>
        <v>0</v>
      </c>
      <c r="N28" s="33">
        <f>'VAC Average'!A10</f>
        <v>46124</v>
      </c>
      <c r="O28" s="34">
        <f>'VAC Average'!B10</f>
        <v>0</v>
      </c>
      <c r="P28" s="34">
        <f>'VAC Average'!C10</f>
        <v>7</v>
      </c>
      <c r="Q28" s="34">
        <f>'VAC Average'!D10</f>
        <v>6</v>
      </c>
      <c r="R28" s="34">
        <f>'VAC Average'!E10</f>
        <v>10</v>
      </c>
      <c r="S28" s="34">
        <f>'VAC Average'!F10</f>
        <v>9</v>
      </c>
    </row>
    <row r="29" spans="1:19" x14ac:dyDescent="0.2">
      <c r="G29" s="27" t="s">
        <v>16</v>
      </c>
      <c r="H29" s="28">
        <f>'OSHC Data'!G22</f>
        <v>6.2</v>
      </c>
      <c r="I29" s="28">
        <f>'OSHC Data'!G21</f>
        <v>8.8000000000000007</v>
      </c>
      <c r="J29" s="28">
        <v>11</v>
      </c>
      <c r="N29" s="33">
        <f>'VAC Average'!A11</f>
        <v>46131</v>
      </c>
      <c r="O29" s="34">
        <f>'VAC Average'!B11</f>
        <v>8</v>
      </c>
      <c r="P29" s="34">
        <f>'VAC Average'!C11</f>
        <v>8</v>
      </c>
      <c r="Q29" s="34">
        <f>'VAC Average'!D11</f>
        <v>9</v>
      </c>
      <c r="R29" s="34">
        <f>'VAC Average'!E11</f>
        <v>7</v>
      </c>
      <c r="S29" s="34">
        <f>'VAC Average'!F11</f>
        <v>9</v>
      </c>
    </row>
    <row r="30" spans="1:19" x14ac:dyDescent="0.2">
      <c r="G30" s="27" t="s">
        <v>17</v>
      </c>
      <c r="H30" s="28">
        <f>'OSHC Data'!H22</f>
        <v>7.2</v>
      </c>
      <c r="I30" s="28">
        <f>'OSHC Data'!H21</f>
        <v>9</v>
      </c>
      <c r="J30" s="28">
        <f>'OSHC Data'!B29</f>
        <v>0</v>
      </c>
      <c r="N30" s="33">
        <f>'VAC Average'!A12</f>
        <v>46202</v>
      </c>
      <c r="O30" s="34">
        <f>'VAC Average'!B12</f>
        <v>9</v>
      </c>
      <c r="P30" s="34">
        <f>'VAC Average'!C12</f>
        <v>14</v>
      </c>
      <c r="Q30" s="34">
        <f>'VAC Average'!D12</f>
        <v>9</v>
      </c>
      <c r="R30" s="34">
        <f>'VAC Average'!E12</f>
        <v>6</v>
      </c>
      <c r="S30" s="34">
        <f>'VAC Average'!F12</f>
        <v>11</v>
      </c>
    </row>
    <row r="31" spans="1:19" x14ac:dyDescent="0.2">
      <c r="G31" s="27" t="s">
        <v>18</v>
      </c>
      <c r="H31" s="28">
        <f>'OSHC Data'!I22</f>
        <v>9</v>
      </c>
      <c r="I31" s="28">
        <f>'OSHC Data'!I21</f>
        <v>10.4</v>
      </c>
      <c r="J31" s="28">
        <f>'OSHC Data'!C29</f>
        <v>0</v>
      </c>
      <c r="N31" s="33">
        <f>'VAC Average'!A13</f>
        <v>46215</v>
      </c>
      <c r="O31" s="34">
        <f>'VAC Average'!B13</f>
        <v>16</v>
      </c>
      <c r="P31" s="34">
        <f>'VAC Average'!C13</f>
        <v>10</v>
      </c>
      <c r="Q31" s="34">
        <f>'VAC Average'!D13</f>
        <v>9</v>
      </c>
      <c r="R31" s="34">
        <f>'VAC Average'!E13</f>
        <v>9</v>
      </c>
      <c r="S31" s="34">
        <f>'VAC Average'!F13</f>
        <v>7</v>
      </c>
    </row>
    <row r="32" spans="1:19" x14ac:dyDescent="0.2">
      <c r="G32" s="27" t="s">
        <v>19</v>
      </c>
      <c r="H32" s="28">
        <f>'OSHC Data'!J22</f>
        <v>8.1999999999999993</v>
      </c>
      <c r="I32" s="28">
        <f>'OSHC Data'!J21</f>
        <v>10.199999999999999</v>
      </c>
      <c r="J32" s="28">
        <f>'OSHC Data'!B31</f>
        <v>0</v>
      </c>
    </row>
    <row r="33" spans="7:19" x14ac:dyDescent="0.2">
      <c r="G33" s="27" t="s">
        <v>20</v>
      </c>
      <c r="H33" s="28">
        <f>'OSHC Data'!K22</f>
        <v>6.6</v>
      </c>
      <c r="I33" s="28">
        <f>'OSHC Data'!K21</f>
        <v>9.6</v>
      </c>
      <c r="J33" s="28">
        <f>'OSHC Data'!C31</f>
        <v>0</v>
      </c>
    </row>
    <row r="34" spans="7:19" x14ac:dyDescent="0.2">
      <c r="G34" s="27" t="s">
        <v>21</v>
      </c>
      <c r="H34" s="29">
        <f>'OSHC Data'!L22</f>
        <v>0</v>
      </c>
      <c r="I34" s="29">
        <f>'OSHC Data'!L21</f>
        <v>0</v>
      </c>
      <c r="J34" s="29">
        <f>'OSHC Data'!B33</f>
        <v>0</v>
      </c>
    </row>
    <row r="35" spans="7:19" x14ac:dyDescent="0.2">
      <c r="G35" s="27" t="s">
        <v>11</v>
      </c>
      <c r="H35" s="28">
        <f>'OSHC Data'!M22</f>
        <v>7.4</v>
      </c>
      <c r="I35" s="28">
        <f>'OSHC Data'!M21</f>
        <v>13</v>
      </c>
      <c r="J35" s="28">
        <f>'OSHC Data'!C33</f>
        <v>0</v>
      </c>
    </row>
    <row r="36" spans="7:19" x14ac:dyDescent="0.2">
      <c r="G36" s="27" t="s">
        <v>12</v>
      </c>
      <c r="H36" s="28">
        <f>'OSHC Data'!N22</f>
        <v>6.2</v>
      </c>
      <c r="I36" s="28">
        <f>'OSHC Data'!N21</f>
        <v>10</v>
      </c>
      <c r="J36" s="28">
        <f>'OSHC Data'!B35</f>
        <v>0</v>
      </c>
    </row>
    <row r="37" spans="7:19" x14ac:dyDescent="0.2">
      <c r="G37" s="27" t="s">
        <v>13</v>
      </c>
      <c r="H37" s="28">
        <f>'OSHC Data'!O22</f>
        <v>5.6</v>
      </c>
      <c r="I37" s="28">
        <f>'OSHC Data'!O21</f>
        <v>11</v>
      </c>
      <c r="J37" s="28">
        <f>'OSHC Data'!C35</f>
        <v>0</v>
      </c>
    </row>
    <row r="38" spans="7:19" x14ac:dyDescent="0.2">
      <c r="G38" s="27" t="s">
        <v>14</v>
      </c>
      <c r="H38" s="28">
        <f>'OSHC Data'!P22</f>
        <v>5.2</v>
      </c>
      <c r="I38" s="28">
        <f>'OSHC Data'!P21</f>
        <v>9.4</v>
      </c>
      <c r="J38" s="28">
        <v>11</v>
      </c>
    </row>
    <row r="39" spans="7:19" x14ac:dyDescent="0.2">
      <c r="G39" s="27" t="s">
        <v>15</v>
      </c>
      <c r="H39" s="28">
        <f>'OSHC Data'!Q22</f>
        <v>6.4</v>
      </c>
      <c r="I39" s="28">
        <f>'OSHC Data'!Q21</f>
        <v>12.4</v>
      </c>
      <c r="J39" s="28">
        <f>'OSHC Data'!C37</f>
        <v>0</v>
      </c>
    </row>
    <row r="40" spans="7:19" x14ac:dyDescent="0.2">
      <c r="G40" s="27" t="s">
        <v>16</v>
      </c>
      <c r="H40" s="28">
        <f>'OSHC Data'!R22</f>
        <v>7</v>
      </c>
      <c r="I40" s="28">
        <f>'OSHC Data'!R21</f>
        <v>10.4</v>
      </c>
      <c r="J40" s="28">
        <f>'OSHC Data'!B39</f>
        <v>0</v>
      </c>
    </row>
    <row r="41" spans="7:19" x14ac:dyDescent="0.2">
      <c r="G41" s="27" t="s">
        <v>17</v>
      </c>
      <c r="H41" s="28">
        <f>'OSHC Data'!S22</f>
        <v>6.2</v>
      </c>
      <c r="I41" s="28">
        <f>'OSHC Data'!T21</f>
        <v>7.2</v>
      </c>
      <c r="J41" s="28">
        <f>'OSHC Data'!C39</f>
        <v>0</v>
      </c>
    </row>
    <row r="42" spans="7:19" x14ac:dyDescent="0.2">
      <c r="G42" s="27" t="s">
        <v>18</v>
      </c>
      <c r="H42" s="28">
        <f>'OSHC Data'!T22</f>
        <v>4.5999999999999996</v>
      </c>
      <c r="I42" s="28">
        <f>'OSHC Data'!T21</f>
        <v>7.2</v>
      </c>
      <c r="J42" s="28">
        <f>'OSHC Data'!B41</f>
        <v>0</v>
      </c>
    </row>
    <row r="43" spans="7:19" x14ac:dyDescent="0.2">
      <c r="G43" s="27" t="s">
        <v>19</v>
      </c>
      <c r="H43" s="28">
        <f>'OSHC Data'!U22</f>
        <v>6.4</v>
      </c>
      <c r="I43" s="28">
        <f>'OSHC Data'!U21</f>
        <v>8.4</v>
      </c>
      <c r="J43" s="28">
        <f>'OSHC Data'!C41</f>
        <v>0</v>
      </c>
    </row>
    <row r="44" spans="7:19" x14ac:dyDescent="0.2">
      <c r="G44" s="27" t="s">
        <v>20</v>
      </c>
      <c r="H44" s="28">
        <f>'OSHC Data'!V22</f>
        <v>7</v>
      </c>
      <c r="I44" s="28">
        <f>'OSHC Data'!V21</f>
        <v>11.4</v>
      </c>
      <c r="J44" s="28">
        <v>0</v>
      </c>
    </row>
    <row r="45" spans="7:19" x14ac:dyDescent="0.2">
      <c r="G45" s="27" t="s">
        <v>21</v>
      </c>
      <c r="H45" s="29">
        <f>'OSHC Data'!W22</f>
        <v>0</v>
      </c>
      <c r="I45" s="29">
        <f>'OSHC Data'!W21</f>
        <v>0</v>
      </c>
      <c r="J45" s="29">
        <v>0</v>
      </c>
      <c r="L45" s="37" t="s">
        <v>59</v>
      </c>
      <c r="M45" s="37"/>
      <c r="N45" s="37"/>
      <c r="O45" s="37"/>
      <c r="P45" s="37"/>
      <c r="Q45" s="37"/>
      <c r="R45" s="37"/>
      <c r="S45" s="37"/>
    </row>
  </sheetData>
  <mergeCells count="5">
    <mergeCell ref="A5:J5"/>
    <mergeCell ref="A21:J21"/>
    <mergeCell ref="L21:S21"/>
    <mergeCell ref="L5:S5"/>
    <mergeCell ref="L45:S45"/>
  </mergeCells>
  <phoneticPr fontId="5" type="noConversion"/>
  <pageMargins left="0.25" right="0.25" top="0.75" bottom="0.75" header="0.3" footer="0.3"/>
  <pageSetup paperSize="9" scale="57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F197-A8DA-0541-AD57-6894E27B63A9}">
  <dimension ref="A2:DG26"/>
  <sheetViews>
    <sheetView zoomScale="160" zoomScaleNormal="160" workbookViewId="0">
      <selection activeCell="B13" sqref="B13"/>
    </sheetView>
  </sheetViews>
  <sheetFormatPr baseColWidth="10" defaultRowHeight="16" x14ac:dyDescent="0.2"/>
  <cols>
    <col min="1" max="1" width="16.83203125" bestFit="1" customWidth="1"/>
    <col min="2" max="2" width="6.1640625" bestFit="1" customWidth="1"/>
    <col min="3" max="4" width="3.33203125" bestFit="1" customWidth="1"/>
    <col min="5" max="5" width="3.5" bestFit="1" customWidth="1"/>
    <col min="6" max="7" width="3.33203125" bestFit="1" customWidth="1"/>
    <col min="8" max="8" width="2.1640625" bestFit="1" customWidth="1"/>
    <col min="9" max="9" width="3.33203125" bestFit="1" customWidth="1"/>
    <col min="10" max="10" width="3.5" bestFit="1" customWidth="1"/>
    <col min="11" max="12" width="3.33203125" bestFit="1" customWidth="1"/>
    <col min="13" max="15" width="4.33203125" bestFit="1" customWidth="1"/>
    <col min="16" max="16" width="3.33203125" bestFit="1" customWidth="1"/>
    <col min="17" max="18" width="5.33203125" bestFit="1" customWidth="1"/>
    <col min="19" max="19" width="3" bestFit="1" customWidth="1"/>
    <col min="20" max="20" width="3.5" bestFit="1" customWidth="1"/>
    <col min="21" max="21" width="2.33203125" bestFit="1" customWidth="1"/>
    <col min="22" max="23" width="3.33203125" bestFit="1" customWidth="1"/>
    <col min="24" max="24" width="3" bestFit="1" customWidth="1"/>
    <col min="25" max="25" width="3.5" bestFit="1" customWidth="1"/>
    <col min="26" max="29" width="3.1640625" bestFit="1" customWidth="1"/>
    <col min="30" max="30" width="3.5" bestFit="1" customWidth="1"/>
    <col min="31" max="31" width="3.1640625" bestFit="1" customWidth="1"/>
    <col min="32" max="32" width="2.83203125" bestFit="1" customWidth="1"/>
    <col min="33" max="34" width="3.1640625" bestFit="1" customWidth="1"/>
    <col min="35" max="35" width="3.5" bestFit="1" customWidth="1"/>
    <col min="36" max="37" width="3.1640625" bestFit="1" customWidth="1"/>
    <col min="38" max="38" width="2.1640625" bestFit="1" customWidth="1"/>
    <col min="39" max="39" width="3.1640625" bestFit="1" customWidth="1"/>
    <col min="40" max="40" width="3.5" bestFit="1" customWidth="1"/>
    <col min="41" max="41" width="2.33203125" bestFit="1" customWidth="1"/>
    <col min="42" max="42" width="3.1640625" bestFit="1" customWidth="1"/>
    <col min="43" max="43" width="2.1640625" bestFit="1" customWidth="1"/>
    <col min="44" max="44" width="3.1640625" bestFit="1" customWidth="1"/>
    <col min="45" max="45" width="3.5" bestFit="1" customWidth="1"/>
    <col min="46" max="49" width="3.1640625" bestFit="1" customWidth="1"/>
    <col min="50" max="50" width="3.5" bestFit="1" customWidth="1"/>
    <col min="51" max="51" width="2.33203125" bestFit="1" customWidth="1"/>
    <col min="52" max="52" width="2.6640625" bestFit="1" customWidth="1"/>
    <col min="53" max="53" width="2" bestFit="1" customWidth="1"/>
    <col min="54" max="54" width="2.83203125" bestFit="1" customWidth="1"/>
    <col min="55" max="55" width="3.33203125" bestFit="1" customWidth="1"/>
    <col min="56" max="56" width="2.1640625" bestFit="1" customWidth="1"/>
    <col min="57" max="57" width="3.33203125" bestFit="1" customWidth="1"/>
    <col min="58" max="58" width="2.83203125" customWidth="1"/>
    <col min="59" max="59" width="3.33203125" customWidth="1"/>
    <col min="60" max="60" width="4.1640625" customWidth="1"/>
    <col min="61" max="61" width="3.5" customWidth="1"/>
    <col min="62" max="62" width="3" customWidth="1"/>
    <col min="63" max="64" width="3.33203125" bestFit="1" customWidth="1"/>
    <col min="65" max="65" width="3.5" bestFit="1" customWidth="1"/>
    <col min="66" max="69" width="3.33203125" bestFit="1" customWidth="1"/>
    <col min="70" max="70" width="4.33203125" bestFit="1" customWidth="1"/>
    <col min="71" max="74" width="3.33203125" bestFit="1" customWidth="1"/>
    <col min="75" max="75" width="3.5" bestFit="1" customWidth="1"/>
    <col min="76" max="76" width="2.33203125" bestFit="1" customWidth="1"/>
    <col min="77" max="79" width="3.33203125" bestFit="1" customWidth="1"/>
    <col min="80" max="80" width="3.5" bestFit="1" customWidth="1"/>
    <col min="81" max="82" width="3.33203125" bestFit="1" customWidth="1"/>
    <col min="83" max="83" width="2.1640625" bestFit="1" customWidth="1"/>
    <col min="84" max="84" width="3" bestFit="1" customWidth="1"/>
    <col min="85" max="85" width="3.5" bestFit="1" customWidth="1"/>
    <col min="86" max="87" width="3.33203125" bestFit="1" customWidth="1"/>
    <col min="88" max="88" width="2.1640625" bestFit="1" customWidth="1"/>
    <col min="89" max="89" width="3" bestFit="1" customWidth="1"/>
    <col min="90" max="90" width="3.5" bestFit="1" customWidth="1"/>
    <col min="91" max="91" width="3.33203125" bestFit="1" customWidth="1"/>
    <col min="92" max="92" width="2.83203125" bestFit="1" customWidth="1"/>
    <col min="93" max="94" width="3.33203125" bestFit="1" customWidth="1"/>
    <col min="95" max="95" width="3.5" bestFit="1" customWidth="1"/>
    <col min="96" max="96" width="2.33203125" bestFit="1" customWidth="1"/>
    <col min="97" max="97" width="2.83203125" bestFit="1" customWidth="1"/>
    <col min="98" max="98" width="2.1640625" bestFit="1" customWidth="1"/>
    <col min="99" max="99" width="3" bestFit="1" customWidth="1"/>
    <col min="100" max="100" width="3.5" bestFit="1" customWidth="1"/>
    <col min="101" max="101" width="2.33203125" bestFit="1" customWidth="1"/>
    <col min="102" max="102" width="3.33203125" bestFit="1" customWidth="1"/>
    <col min="103" max="103" width="2.1640625" bestFit="1" customWidth="1"/>
    <col min="104" max="104" width="3.33203125" bestFit="1" customWidth="1"/>
    <col min="105" max="105" width="3.5" bestFit="1" customWidth="1"/>
    <col min="106" max="106" width="3.33203125" bestFit="1" customWidth="1"/>
    <col min="107" max="107" width="2.6640625" bestFit="1" customWidth="1"/>
    <col min="108" max="108" width="2" bestFit="1" customWidth="1"/>
    <col min="109" max="109" width="2.83203125" bestFit="1" customWidth="1"/>
    <col min="110" max="110" width="3.33203125" bestFit="1" customWidth="1"/>
    <col min="111" max="111" width="2.1640625" bestFit="1" customWidth="1"/>
  </cols>
  <sheetData>
    <row r="2" spans="1:111" x14ac:dyDescent="0.2">
      <c r="A2" s="1" t="s">
        <v>23</v>
      </c>
      <c r="B2" s="39" t="s">
        <v>35</v>
      </c>
      <c r="C2" s="39"/>
      <c r="D2" s="39"/>
      <c r="E2" s="39"/>
      <c r="F2" s="39"/>
      <c r="G2" s="39" t="s">
        <v>36</v>
      </c>
      <c r="H2" s="39"/>
      <c r="I2" s="39"/>
      <c r="J2" s="39"/>
      <c r="K2" s="39"/>
      <c r="L2" s="39" t="s">
        <v>37</v>
      </c>
      <c r="M2" s="39"/>
      <c r="N2" s="39"/>
      <c r="O2" s="39"/>
      <c r="P2" s="39"/>
      <c r="Q2" s="39" t="s">
        <v>38</v>
      </c>
      <c r="R2" s="39"/>
      <c r="S2" s="39"/>
      <c r="T2" s="39"/>
      <c r="U2" s="39"/>
      <c r="V2" s="39" t="s">
        <v>39</v>
      </c>
      <c r="W2" s="39"/>
      <c r="X2" s="39"/>
      <c r="Y2" s="39"/>
      <c r="Z2" s="39"/>
      <c r="AA2" s="39" t="s">
        <v>40</v>
      </c>
      <c r="AB2" s="39"/>
      <c r="AC2" s="39"/>
      <c r="AD2" s="39"/>
      <c r="AE2" s="39"/>
      <c r="AF2" s="39" t="s">
        <v>41</v>
      </c>
      <c r="AG2" s="39"/>
      <c r="AH2" s="39"/>
      <c r="AI2" s="39"/>
      <c r="AJ2" s="39"/>
      <c r="AK2" s="39" t="s">
        <v>42</v>
      </c>
      <c r="AL2" s="39"/>
      <c r="AM2" s="39"/>
      <c r="AN2" s="39"/>
      <c r="AO2" s="39"/>
      <c r="AP2" s="39" t="s">
        <v>43</v>
      </c>
      <c r="AQ2" s="39"/>
      <c r="AR2" s="39"/>
      <c r="AS2" s="39"/>
      <c r="AT2" s="39"/>
      <c r="AU2" s="39" t="s">
        <v>44</v>
      </c>
      <c r="AV2" s="39"/>
      <c r="AW2" s="39"/>
      <c r="AX2" s="39"/>
      <c r="AY2" s="39"/>
      <c r="AZ2" s="39" t="s">
        <v>45</v>
      </c>
      <c r="BA2" s="39"/>
      <c r="BB2" s="39"/>
      <c r="BC2" s="39"/>
      <c r="BD2" s="39"/>
      <c r="BE2" s="38" t="s">
        <v>35</v>
      </c>
      <c r="BF2" s="38"/>
      <c r="BG2" s="38"/>
      <c r="BH2" s="38"/>
      <c r="BI2" s="38"/>
      <c r="BJ2" s="38" t="s">
        <v>36</v>
      </c>
      <c r="BK2" s="38"/>
      <c r="BL2" s="38"/>
      <c r="BM2" s="38"/>
      <c r="BN2" s="38"/>
      <c r="BO2" s="38" t="s">
        <v>37</v>
      </c>
      <c r="BP2" s="38"/>
      <c r="BQ2" s="38"/>
      <c r="BR2" s="38"/>
      <c r="BS2" s="38"/>
      <c r="BT2" s="38" t="s">
        <v>38</v>
      </c>
      <c r="BU2" s="38"/>
      <c r="BV2" s="38"/>
      <c r="BW2" s="38"/>
      <c r="BX2" s="38"/>
      <c r="BY2" s="38" t="s">
        <v>39</v>
      </c>
      <c r="BZ2" s="38"/>
      <c r="CA2" s="38"/>
      <c r="CB2" s="38"/>
      <c r="CC2" s="38"/>
      <c r="CD2" s="38" t="s">
        <v>40</v>
      </c>
      <c r="CE2" s="38"/>
      <c r="CF2" s="38"/>
      <c r="CG2" s="38"/>
      <c r="CH2" s="38"/>
      <c r="CI2" s="38" t="s">
        <v>41</v>
      </c>
      <c r="CJ2" s="38"/>
      <c r="CK2" s="38"/>
      <c r="CL2" s="38"/>
      <c r="CM2" s="38"/>
      <c r="CN2" s="38" t="s">
        <v>42</v>
      </c>
      <c r="CO2" s="38"/>
      <c r="CP2" s="38"/>
      <c r="CQ2" s="38"/>
      <c r="CR2" s="38"/>
      <c r="CS2" s="38" t="s">
        <v>43</v>
      </c>
      <c r="CT2" s="38"/>
      <c r="CU2" s="38"/>
      <c r="CV2" s="38"/>
      <c r="CW2" s="38"/>
      <c r="CX2" s="38" t="s">
        <v>44</v>
      </c>
      <c r="CY2" s="38"/>
      <c r="CZ2" s="38"/>
      <c r="DA2" s="38"/>
      <c r="DB2" s="38"/>
      <c r="DC2" s="38" t="s">
        <v>45</v>
      </c>
      <c r="DD2" s="38"/>
      <c r="DE2" s="38"/>
      <c r="DF2" s="38"/>
      <c r="DG2" s="38"/>
    </row>
    <row r="3" spans="1:111" x14ac:dyDescent="0.2"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27</v>
      </c>
      <c r="M3" s="11" t="s">
        <v>28</v>
      </c>
      <c r="N3" s="11" t="s">
        <v>29</v>
      </c>
      <c r="O3" s="11" t="s">
        <v>30</v>
      </c>
      <c r="P3" s="11" t="s">
        <v>31</v>
      </c>
      <c r="Q3" s="11" t="s">
        <v>27</v>
      </c>
      <c r="R3" s="11" t="s">
        <v>28</v>
      </c>
      <c r="S3" s="11" t="s">
        <v>29</v>
      </c>
      <c r="T3" s="11" t="s">
        <v>30</v>
      </c>
      <c r="U3" s="11" t="s">
        <v>31</v>
      </c>
      <c r="V3" s="11" t="s">
        <v>27</v>
      </c>
      <c r="W3" s="11" t="s">
        <v>28</v>
      </c>
      <c r="X3" s="11" t="s">
        <v>29</v>
      </c>
      <c r="Y3" s="11" t="s">
        <v>30</v>
      </c>
      <c r="Z3" s="11" t="s">
        <v>31</v>
      </c>
      <c r="AA3" s="11" t="s">
        <v>27</v>
      </c>
      <c r="AB3" s="11" t="s">
        <v>28</v>
      </c>
      <c r="AC3" s="11" t="s">
        <v>29</v>
      </c>
      <c r="AD3" s="11" t="s">
        <v>30</v>
      </c>
      <c r="AE3" s="11" t="s">
        <v>31</v>
      </c>
      <c r="AF3" s="11" t="s">
        <v>27</v>
      </c>
      <c r="AG3" s="11" t="s">
        <v>28</v>
      </c>
      <c r="AH3" s="11" t="s">
        <v>29</v>
      </c>
      <c r="AI3" s="11" t="s">
        <v>30</v>
      </c>
      <c r="AJ3" s="11" t="s">
        <v>31</v>
      </c>
      <c r="AK3" s="11" t="s">
        <v>27</v>
      </c>
      <c r="AL3" s="11" t="s">
        <v>28</v>
      </c>
      <c r="AM3" s="11" t="s">
        <v>29</v>
      </c>
      <c r="AN3" s="11" t="s">
        <v>30</v>
      </c>
      <c r="AO3" s="11" t="s">
        <v>31</v>
      </c>
      <c r="AP3" s="11" t="s">
        <v>27</v>
      </c>
      <c r="AQ3" s="11" t="s">
        <v>28</v>
      </c>
      <c r="AR3" s="11" t="s">
        <v>29</v>
      </c>
      <c r="AS3" s="11" t="s">
        <v>30</v>
      </c>
      <c r="AT3" s="11" t="s">
        <v>31</v>
      </c>
      <c r="AU3" s="11" t="s">
        <v>27</v>
      </c>
      <c r="AV3" s="11" t="s">
        <v>28</v>
      </c>
      <c r="AW3" s="11" t="s">
        <v>29</v>
      </c>
      <c r="AX3" s="11" t="s">
        <v>30</v>
      </c>
      <c r="AY3" s="11" t="s">
        <v>31</v>
      </c>
      <c r="AZ3" s="11" t="s">
        <v>27</v>
      </c>
      <c r="BA3" s="11" t="s">
        <v>28</v>
      </c>
      <c r="BB3" s="11" t="s">
        <v>29</v>
      </c>
      <c r="BC3" s="11" t="s">
        <v>30</v>
      </c>
      <c r="BD3" s="11" t="s">
        <v>31</v>
      </c>
      <c r="BE3" s="12" t="s">
        <v>27</v>
      </c>
      <c r="BF3" s="12" t="s">
        <v>28</v>
      </c>
      <c r="BG3" s="12" t="s">
        <v>29</v>
      </c>
      <c r="BH3" s="12" t="s">
        <v>30</v>
      </c>
      <c r="BI3" s="12" t="s">
        <v>31</v>
      </c>
      <c r="BJ3" s="12" t="s">
        <v>27</v>
      </c>
      <c r="BK3" s="12" t="s">
        <v>28</v>
      </c>
      <c r="BL3" s="12" t="s">
        <v>29</v>
      </c>
      <c r="BM3" s="12" t="s">
        <v>30</v>
      </c>
      <c r="BN3" s="12" t="s">
        <v>31</v>
      </c>
      <c r="BO3" s="12" t="s">
        <v>27</v>
      </c>
      <c r="BP3" s="12" t="s">
        <v>28</v>
      </c>
      <c r="BQ3" s="12" t="s">
        <v>29</v>
      </c>
      <c r="BR3" s="12" t="s">
        <v>30</v>
      </c>
      <c r="BS3" s="12" t="s">
        <v>31</v>
      </c>
      <c r="BT3" s="12" t="s">
        <v>27</v>
      </c>
      <c r="BU3" s="12" t="s">
        <v>28</v>
      </c>
      <c r="BV3" s="12" t="s">
        <v>29</v>
      </c>
      <c r="BW3" s="12" t="s">
        <v>30</v>
      </c>
      <c r="BX3" s="12" t="s">
        <v>31</v>
      </c>
      <c r="BY3" s="12" t="s">
        <v>27</v>
      </c>
      <c r="BZ3" s="12" t="s">
        <v>28</v>
      </c>
      <c r="CA3" s="12" t="s">
        <v>29</v>
      </c>
      <c r="CB3" s="12" t="s">
        <v>30</v>
      </c>
      <c r="CC3" s="12" t="s">
        <v>31</v>
      </c>
      <c r="CD3" s="12" t="s">
        <v>27</v>
      </c>
      <c r="CE3" s="12" t="s">
        <v>28</v>
      </c>
      <c r="CF3" s="12" t="s">
        <v>29</v>
      </c>
      <c r="CG3" s="12" t="s">
        <v>30</v>
      </c>
      <c r="CH3" s="12" t="s">
        <v>31</v>
      </c>
      <c r="CI3" s="12" t="s">
        <v>27</v>
      </c>
      <c r="CJ3" s="12" t="s">
        <v>28</v>
      </c>
      <c r="CK3" s="12" t="s">
        <v>29</v>
      </c>
      <c r="CL3" s="12" t="s">
        <v>30</v>
      </c>
      <c r="CM3" s="12" t="s">
        <v>31</v>
      </c>
      <c r="CN3" s="12" t="s">
        <v>27</v>
      </c>
      <c r="CO3" s="12" t="s">
        <v>28</v>
      </c>
      <c r="CP3" s="12" t="s">
        <v>29</v>
      </c>
      <c r="CQ3" s="12" t="s">
        <v>30</v>
      </c>
      <c r="CR3" s="12" t="s">
        <v>31</v>
      </c>
      <c r="CS3" s="12" t="s">
        <v>27</v>
      </c>
      <c r="CT3" s="12" t="s">
        <v>28</v>
      </c>
      <c r="CU3" s="12" t="s">
        <v>29</v>
      </c>
      <c r="CV3" s="12" t="s">
        <v>30</v>
      </c>
      <c r="CW3" s="12" t="s">
        <v>31</v>
      </c>
      <c r="CX3" s="12" t="s">
        <v>27</v>
      </c>
      <c r="CY3" s="12" t="s">
        <v>28</v>
      </c>
      <c r="CZ3" s="12" t="s">
        <v>29</v>
      </c>
      <c r="DA3" s="12" t="s">
        <v>30</v>
      </c>
      <c r="DB3" s="12" t="s">
        <v>31</v>
      </c>
      <c r="DC3" s="12" t="s">
        <v>27</v>
      </c>
      <c r="DD3" s="12" t="s">
        <v>28</v>
      </c>
      <c r="DE3" s="12" t="s">
        <v>29</v>
      </c>
      <c r="DF3" s="12" t="s">
        <v>30</v>
      </c>
      <c r="DG3" s="12" t="s">
        <v>31</v>
      </c>
    </row>
    <row r="4" spans="1:111" x14ac:dyDescent="0.2">
      <c r="A4" t="s">
        <v>32</v>
      </c>
      <c r="B4" s="24">
        <v>0</v>
      </c>
      <c r="C4" s="24">
        <v>0</v>
      </c>
      <c r="D4" s="24">
        <v>2</v>
      </c>
      <c r="E4" s="24">
        <v>3</v>
      </c>
      <c r="F4" s="24">
        <v>4</v>
      </c>
      <c r="G4" s="24">
        <v>2</v>
      </c>
      <c r="H4" s="24">
        <v>3</v>
      </c>
      <c r="I4" s="24">
        <v>3</v>
      </c>
      <c r="J4" s="24">
        <v>6</v>
      </c>
      <c r="K4" s="24">
        <v>7</v>
      </c>
      <c r="L4" s="24">
        <v>7</v>
      </c>
      <c r="M4" s="24">
        <v>7</v>
      </c>
      <c r="N4" s="24">
        <v>5</v>
      </c>
      <c r="O4" s="24">
        <v>10</v>
      </c>
      <c r="P4" s="24">
        <v>7</v>
      </c>
      <c r="Q4" s="24">
        <v>8</v>
      </c>
      <c r="R4" s="24">
        <v>8</v>
      </c>
      <c r="S4" s="24">
        <v>6</v>
      </c>
      <c r="T4" s="24">
        <v>9</v>
      </c>
      <c r="U4" s="24">
        <v>7</v>
      </c>
      <c r="V4" s="24">
        <v>4</v>
      </c>
      <c r="W4" s="24">
        <v>5</v>
      </c>
      <c r="X4" s="24">
        <v>7</v>
      </c>
      <c r="Y4" s="24">
        <v>8</v>
      </c>
      <c r="Z4" s="24">
        <v>11</v>
      </c>
      <c r="AA4" s="24">
        <v>6</v>
      </c>
      <c r="AB4" s="24">
        <v>8</v>
      </c>
      <c r="AC4" s="24">
        <v>8</v>
      </c>
      <c r="AD4" s="24">
        <v>9</v>
      </c>
      <c r="AE4" s="24">
        <v>0</v>
      </c>
      <c r="AF4" s="24">
        <v>0</v>
      </c>
      <c r="AG4" s="24">
        <v>8</v>
      </c>
      <c r="AH4" s="24">
        <v>11</v>
      </c>
      <c r="AI4" s="24">
        <v>8</v>
      </c>
      <c r="AJ4" s="24">
        <v>9</v>
      </c>
      <c r="AK4" s="24">
        <v>9</v>
      </c>
      <c r="AL4" s="24">
        <v>7</v>
      </c>
      <c r="AM4" s="24">
        <v>9</v>
      </c>
      <c r="AN4" s="24">
        <v>11</v>
      </c>
      <c r="AO4" s="24">
        <v>9</v>
      </c>
      <c r="AP4" s="24">
        <v>6</v>
      </c>
      <c r="AQ4" s="24">
        <v>7</v>
      </c>
      <c r="AR4" s="24">
        <v>7</v>
      </c>
      <c r="AS4" s="24">
        <v>9</v>
      </c>
      <c r="AT4" s="24">
        <v>12</v>
      </c>
      <c r="AU4" s="24">
        <v>8</v>
      </c>
      <c r="AV4" s="24">
        <v>7</v>
      </c>
      <c r="AW4" s="24">
        <v>9</v>
      </c>
      <c r="AX4" s="24">
        <v>9</v>
      </c>
      <c r="AY4" s="24">
        <v>0</v>
      </c>
      <c r="AZ4" s="25"/>
      <c r="BA4" s="25"/>
      <c r="BB4" s="25"/>
      <c r="BC4" s="25"/>
      <c r="BD4" s="25"/>
      <c r="BE4" s="25">
        <v>4</v>
      </c>
      <c r="BF4" s="25">
        <v>5</v>
      </c>
      <c r="BG4" s="25">
        <v>11</v>
      </c>
      <c r="BH4" s="25">
        <v>12</v>
      </c>
      <c r="BI4" s="25">
        <v>5</v>
      </c>
      <c r="BJ4" s="25">
        <v>5</v>
      </c>
      <c r="BK4" s="25">
        <v>7</v>
      </c>
      <c r="BL4" s="25">
        <v>5</v>
      </c>
      <c r="BM4" s="25">
        <v>6</v>
      </c>
      <c r="BN4" s="25">
        <v>8</v>
      </c>
      <c r="BO4" s="25">
        <v>4</v>
      </c>
      <c r="BP4" s="25">
        <v>9</v>
      </c>
      <c r="BQ4" s="25">
        <v>6</v>
      </c>
      <c r="BR4" s="25">
        <v>5</v>
      </c>
      <c r="BS4" s="25">
        <v>4</v>
      </c>
      <c r="BT4" s="25">
        <v>6</v>
      </c>
      <c r="BU4" s="25">
        <v>5</v>
      </c>
      <c r="BV4" s="25">
        <v>0</v>
      </c>
      <c r="BW4" s="25">
        <v>7</v>
      </c>
      <c r="BX4" s="25">
        <v>8</v>
      </c>
      <c r="BY4" s="25">
        <v>5</v>
      </c>
      <c r="BZ4" s="25">
        <v>3</v>
      </c>
      <c r="CA4" s="25">
        <v>6</v>
      </c>
      <c r="CB4" s="25">
        <v>9</v>
      </c>
      <c r="CC4" s="25">
        <v>9</v>
      </c>
      <c r="CD4" s="25">
        <v>6</v>
      </c>
      <c r="CE4" s="25">
        <v>8</v>
      </c>
      <c r="CF4" s="25">
        <v>6</v>
      </c>
      <c r="CG4" s="25">
        <v>7</v>
      </c>
      <c r="CH4" s="25">
        <v>8</v>
      </c>
      <c r="CI4" s="25">
        <v>5</v>
      </c>
      <c r="CJ4" s="25">
        <v>4</v>
      </c>
      <c r="CK4" s="25">
        <v>8</v>
      </c>
      <c r="CL4" s="25">
        <v>6</v>
      </c>
      <c r="CM4" s="25">
        <v>8</v>
      </c>
      <c r="CN4" s="25">
        <v>0</v>
      </c>
      <c r="CO4" s="25">
        <v>7</v>
      </c>
      <c r="CP4" s="25">
        <v>4</v>
      </c>
      <c r="CQ4" s="25">
        <v>6</v>
      </c>
      <c r="CR4" s="25">
        <v>6</v>
      </c>
      <c r="CS4" s="25">
        <v>6</v>
      </c>
      <c r="CT4" s="25">
        <v>4</v>
      </c>
      <c r="CU4" s="25">
        <v>6</v>
      </c>
      <c r="CV4" s="25">
        <v>8</v>
      </c>
      <c r="CW4" s="25">
        <v>8</v>
      </c>
      <c r="CX4" s="25">
        <v>6</v>
      </c>
      <c r="CY4" s="25">
        <v>5</v>
      </c>
      <c r="CZ4" s="25">
        <v>8</v>
      </c>
      <c r="DA4" s="25">
        <v>9</v>
      </c>
      <c r="DB4" s="25">
        <v>7</v>
      </c>
      <c r="DC4" s="25"/>
      <c r="DD4" s="25"/>
      <c r="DE4" s="25"/>
      <c r="DF4" s="25"/>
      <c r="DG4" s="25"/>
    </row>
    <row r="5" spans="1:111" x14ac:dyDescent="0.2">
      <c r="A5" t="s">
        <v>33</v>
      </c>
      <c r="B5" s="24">
        <v>0</v>
      </c>
      <c r="C5" s="24">
        <v>0</v>
      </c>
      <c r="D5" s="24">
        <v>7</v>
      </c>
      <c r="E5" s="24">
        <v>8</v>
      </c>
      <c r="F5" s="24">
        <v>8</v>
      </c>
      <c r="G5" s="24">
        <v>8</v>
      </c>
      <c r="H5" s="24">
        <v>6</v>
      </c>
      <c r="I5" s="24">
        <v>6</v>
      </c>
      <c r="J5" s="24">
        <v>9</v>
      </c>
      <c r="K5" s="24">
        <v>9</v>
      </c>
      <c r="L5" s="24">
        <v>7</v>
      </c>
      <c r="M5" s="24">
        <v>6</v>
      </c>
      <c r="N5" s="24">
        <v>11</v>
      </c>
      <c r="O5" s="24">
        <v>7</v>
      </c>
      <c r="P5" s="24">
        <v>7</v>
      </c>
      <c r="Q5" s="24">
        <v>9</v>
      </c>
      <c r="R5" s="24">
        <v>8</v>
      </c>
      <c r="S5" s="24">
        <v>7</v>
      </c>
      <c r="T5" s="24">
        <v>8</v>
      </c>
      <c r="U5" s="24">
        <v>9</v>
      </c>
      <c r="V5" s="24">
        <v>11</v>
      </c>
      <c r="W5" s="24">
        <v>7</v>
      </c>
      <c r="X5" s="24">
        <v>8</v>
      </c>
      <c r="Y5" s="24">
        <v>10</v>
      </c>
      <c r="Z5" s="24">
        <v>9</v>
      </c>
      <c r="AA5" s="24">
        <v>11</v>
      </c>
      <c r="AB5" s="24">
        <v>11</v>
      </c>
      <c r="AC5" s="24">
        <v>12</v>
      </c>
      <c r="AD5" s="24">
        <v>10</v>
      </c>
      <c r="AE5" s="24">
        <v>0</v>
      </c>
      <c r="AF5" s="24">
        <v>0</v>
      </c>
      <c r="AG5" s="24">
        <v>14</v>
      </c>
      <c r="AH5" s="24">
        <v>11</v>
      </c>
      <c r="AI5" s="24">
        <v>9</v>
      </c>
      <c r="AJ5" s="24">
        <v>11</v>
      </c>
      <c r="AK5" s="24">
        <v>10</v>
      </c>
      <c r="AL5" s="24">
        <v>9</v>
      </c>
      <c r="AM5" s="24">
        <v>11</v>
      </c>
      <c r="AN5" s="24">
        <v>13</v>
      </c>
      <c r="AO5" s="24">
        <v>9</v>
      </c>
      <c r="AP5" s="24">
        <v>11</v>
      </c>
      <c r="AQ5" s="24">
        <v>4</v>
      </c>
      <c r="AR5" s="24">
        <v>11</v>
      </c>
      <c r="AS5" s="24">
        <v>17</v>
      </c>
      <c r="AT5" s="24">
        <v>8</v>
      </c>
      <c r="AU5" s="24">
        <v>11</v>
      </c>
      <c r="AV5" s="24">
        <v>11</v>
      </c>
      <c r="AW5" s="24">
        <v>12</v>
      </c>
      <c r="AX5" s="24">
        <v>14</v>
      </c>
      <c r="AY5" s="24">
        <v>0</v>
      </c>
      <c r="AZ5" s="25"/>
      <c r="BA5" s="25"/>
      <c r="BB5" s="25"/>
      <c r="BC5" s="25"/>
      <c r="BD5" s="25"/>
      <c r="BE5" s="25">
        <v>13</v>
      </c>
      <c r="BF5" s="25">
        <v>9</v>
      </c>
      <c r="BG5" s="25">
        <v>20</v>
      </c>
      <c r="BH5" s="25">
        <v>15</v>
      </c>
      <c r="BI5" s="25">
        <v>8</v>
      </c>
      <c r="BJ5" s="25">
        <v>9</v>
      </c>
      <c r="BK5" s="25">
        <v>10</v>
      </c>
      <c r="BL5" s="25">
        <v>11</v>
      </c>
      <c r="BM5" s="25">
        <v>9</v>
      </c>
      <c r="BN5" s="25">
        <v>11</v>
      </c>
      <c r="BO5" s="25">
        <v>10</v>
      </c>
      <c r="BP5" s="25">
        <v>11</v>
      </c>
      <c r="BQ5" s="25">
        <v>12</v>
      </c>
      <c r="BR5" s="25">
        <v>12</v>
      </c>
      <c r="BS5" s="25">
        <v>10</v>
      </c>
      <c r="BT5" s="25">
        <v>13</v>
      </c>
      <c r="BU5" s="25">
        <v>12</v>
      </c>
      <c r="BV5" s="25">
        <v>0</v>
      </c>
      <c r="BW5" s="25">
        <v>16</v>
      </c>
      <c r="BX5" s="25">
        <v>6</v>
      </c>
      <c r="BY5" s="25">
        <v>13</v>
      </c>
      <c r="BZ5" s="25">
        <v>10</v>
      </c>
      <c r="CA5" s="25">
        <v>13</v>
      </c>
      <c r="CB5" s="25">
        <v>16</v>
      </c>
      <c r="CC5" s="25">
        <v>10</v>
      </c>
      <c r="CD5" s="25">
        <v>13</v>
      </c>
      <c r="CE5" s="25">
        <v>9</v>
      </c>
      <c r="CF5" s="25">
        <v>8</v>
      </c>
      <c r="CG5" s="25">
        <v>12</v>
      </c>
      <c r="CH5" s="25">
        <v>10</v>
      </c>
      <c r="CI5" s="25">
        <v>12</v>
      </c>
      <c r="CJ5" s="25">
        <v>6</v>
      </c>
      <c r="CK5" s="25">
        <v>7</v>
      </c>
      <c r="CL5" s="25">
        <v>15</v>
      </c>
      <c r="CM5" s="25">
        <v>11</v>
      </c>
      <c r="CN5" s="25">
        <v>0</v>
      </c>
      <c r="CO5" s="25">
        <v>12</v>
      </c>
      <c r="CP5" s="25">
        <v>10</v>
      </c>
      <c r="CQ5" s="25">
        <v>6</v>
      </c>
      <c r="CR5" s="25">
        <v>8</v>
      </c>
      <c r="CS5" s="25">
        <v>9</v>
      </c>
      <c r="CT5" s="25">
        <v>8</v>
      </c>
      <c r="CU5" s="25">
        <v>8</v>
      </c>
      <c r="CV5" s="25">
        <v>9</v>
      </c>
      <c r="CW5" s="25">
        <v>8</v>
      </c>
      <c r="CX5" s="25">
        <v>10</v>
      </c>
      <c r="CY5" s="25">
        <v>7</v>
      </c>
      <c r="CZ5" s="25">
        <v>12</v>
      </c>
      <c r="DA5" s="25">
        <v>18</v>
      </c>
      <c r="DB5" s="25">
        <v>10</v>
      </c>
      <c r="DC5" s="25"/>
      <c r="DD5" s="25"/>
      <c r="DE5" s="25"/>
      <c r="DF5" s="25"/>
      <c r="DG5" s="25"/>
    </row>
    <row r="6" spans="1:111" x14ac:dyDescent="0.2">
      <c r="A6" t="s">
        <v>48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>
        <v>11</v>
      </c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>
        <v>11</v>
      </c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</row>
    <row r="9" spans="1:111" x14ac:dyDescent="0.2">
      <c r="A9" s="3" t="s">
        <v>46</v>
      </c>
    </row>
    <row r="10" spans="1:111" x14ac:dyDescent="0.2">
      <c r="A10" t="s">
        <v>55</v>
      </c>
    </row>
    <row r="11" spans="1:111" x14ac:dyDescent="0.2">
      <c r="B11" s="6">
        <v>10</v>
      </c>
      <c r="C11" t="s">
        <v>49</v>
      </c>
    </row>
    <row r="12" spans="1:111" x14ac:dyDescent="0.2">
      <c r="B12" t="s">
        <v>24</v>
      </c>
      <c r="C12" t="s">
        <v>25</v>
      </c>
      <c r="D12" t="s">
        <v>26</v>
      </c>
      <c r="E12" t="s">
        <v>47</v>
      </c>
    </row>
    <row r="13" spans="1:111" x14ac:dyDescent="0.2">
      <c r="A13" t="s">
        <v>33</v>
      </c>
      <c r="B13">
        <f>(B5+G5+L5+Q5+V5+AA5+AF5+AK5+AP5+AU5+AZ4)/B11</f>
        <v>7.8</v>
      </c>
      <c r="C13">
        <f>(C5+H5+M5+R5+W5+AB5+AG5+AL5+AQ5+AV5+BA4)/B11</f>
        <v>7.6</v>
      </c>
      <c r="D13">
        <f>(D5+I5+N5+S5+X5+AC5+AH5+AM5+AR5+AW5+BB4)/B11</f>
        <v>9.6</v>
      </c>
      <c r="E13">
        <f>(E5+J5+O5+T5+Y5+AD5+AI5+AN5+AS5+AX5+BC4)/B11</f>
        <v>10.5</v>
      </c>
      <c r="F13">
        <f>(F5+K5+P5+U5+Z5+AE5+AJ5+AO5+AT5+AY5+BD4)/B11</f>
        <v>7</v>
      </c>
    </row>
    <row r="14" spans="1:111" x14ac:dyDescent="0.2">
      <c r="A14" t="s">
        <v>32</v>
      </c>
      <c r="B14">
        <f>(B4+G4+L4+Q4+V4+AA4+AF4+AK4+AP4+AU4+AZ5)/B11</f>
        <v>5</v>
      </c>
      <c r="C14">
        <f>(C4+H4+M4+R4+W4+AB4+AG4+AL4+AQ4+AV4+BA5)/B11</f>
        <v>6</v>
      </c>
      <c r="D14">
        <f>(D4+I4+N4+S4+X4+AC4+AH4+AM4+AR4+AW4+BB5)/B11</f>
        <v>6.7</v>
      </c>
      <c r="E14">
        <f>(E4+J4+O4+T4+Y4+AD4+AI4+AN4+AS4+AX4+BC5)/B11</f>
        <v>8.1999999999999993</v>
      </c>
      <c r="F14">
        <f>(F4+K4+P4+U4+Z4+AE4+AJ4+AO4+AT4+AY4+BD5)/B11</f>
        <v>6.6</v>
      </c>
    </row>
    <row r="15" spans="1:111" x14ac:dyDescent="0.2">
      <c r="A15" t="s">
        <v>48</v>
      </c>
      <c r="B15">
        <v>0</v>
      </c>
      <c r="C15">
        <v>0</v>
      </c>
      <c r="D15">
        <v>11</v>
      </c>
      <c r="E15">
        <v>0</v>
      </c>
      <c r="F15">
        <v>11</v>
      </c>
    </row>
    <row r="17" spans="1:23" x14ac:dyDescent="0.2">
      <c r="B17" s="6">
        <v>1</v>
      </c>
      <c r="C17" t="s">
        <v>53</v>
      </c>
    </row>
    <row r="19" spans="1:23" ht="17" thickBot="1" x14ac:dyDescent="0.25"/>
    <row r="20" spans="1:23" x14ac:dyDescent="0.2">
      <c r="A20" s="1" t="s">
        <v>56</v>
      </c>
      <c r="B20" s="13">
        <v>1</v>
      </c>
      <c r="C20" s="14">
        <v>2</v>
      </c>
      <c r="D20" s="14">
        <v>3</v>
      </c>
      <c r="E20" s="14">
        <v>4</v>
      </c>
      <c r="F20" s="14">
        <v>5</v>
      </c>
      <c r="G20" s="14">
        <v>6</v>
      </c>
      <c r="H20" s="14">
        <v>7</v>
      </c>
      <c r="I20" s="14">
        <v>8</v>
      </c>
      <c r="J20" s="14">
        <v>9</v>
      </c>
      <c r="K20" s="14">
        <v>10</v>
      </c>
      <c r="L20" s="21">
        <v>11</v>
      </c>
      <c r="M20" s="22">
        <v>1</v>
      </c>
      <c r="N20" s="23">
        <v>2</v>
      </c>
      <c r="O20" s="23">
        <v>3</v>
      </c>
      <c r="P20" s="23">
        <v>4</v>
      </c>
      <c r="Q20" s="23">
        <v>5</v>
      </c>
      <c r="R20" s="23">
        <v>6</v>
      </c>
      <c r="S20" s="23">
        <v>7</v>
      </c>
      <c r="T20" s="23">
        <v>8</v>
      </c>
      <c r="U20" s="23">
        <v>9</v>
      </c>
      <c r="V20" s="23">
        <v>10</v>
      </c>
      <c r="W20" s="15">
        <v>11</v>
      </c>
    </row>
    <row r="21" spans="1:23" x14ac:dyDescent="0.2">
      <c r="A21" t="s">
        <v>33</v>
      </c>
      <c r="B21" s="16">
        <f>(B5+C5+D5+E5+F5)/5</f>
        <v>4.5999999999999996</v>
      </c>
      <c r="C21">
        <f>(G5+H5+I5+J5+K5)/5</f>
        <v>7.6</v>
      </c>
      <c r="D21">
        <f>(L5+M5+N5+O5+P5)/5</f>
        <v>7.6</v>
      </c>
      <c r="E21">
        <f>(Q5+R5+S5+T5+U5)/5</f>
        <v>8.1999999999999993</v>
      </c>
      <c r="F21">
        <f>(V5+W5+X5+Y5+Z5)/5</f>
        <v>9</v>
      </c>
      <c r="G21">
        <f>(AA5+AB5+AC5+AD5+AE5)/5</f>
        <v>8.8000000000000007</v>
      </c>
      <c r="H21">
        <f>(AF5+AG5+AH5+AI5+AJ5)/5</f>
        <v>9</v>
      </c>
      <c r="I21">
        <f>(AK5+AL5+AM5+AN5+AO5)/5</f>
        <v>10.4</v>
      </c>
      <c r="J21">
        <f>(AP5+AQ5+AR5+AS5+AT5)/5</f>
        <v>10.199999999999999</v>
      </c>
      <c r="K21">
        <f>(AU5+AV5+AW5+AX5+AY5)/5</f>
        <v>9.6</v>
      </c>
      <c r="L21" s="17">
        <f>(AZ4+BA4+BB4+BC4+BD4)/5</f>
        <v>0</v>
      </c>
      <c r="M21" s="16">
        <f>(BE5+BF5+BG5+BH5+BI5)/5</f>
        <v>13</v>
      </c>
      <c r="N21">
        <f>(BJ5+BK5+BL5+BM5+BN5)/5</f>
        <v>10</v>
      </c>
      <c r="O21">
        <f>(BO5+BP5+BQ5+BR5+BS5)/5</f>
        <v>11</v>
      </c>
      <c r="P21">
        <f>(BT5+BU5+BV5+BW5+BX5)/5</f>
        <v>9.4</v>
      </c>
      <c r="Q21">
        <f>(BY5+BZ5+CA5+CB5+CC5)/5</f>
        <v>12.4</v>
      </c>
      <c r="R21">
        <f>(CD5+CE5+CF5+CG5+CH5)/5</f>
        <v>10.4</v>
      </c>
      <c r="S21">
        <f>(CI5+CJ5+CK5+CL5+CM5)/5</f>
        <v>10.199999999999999</v>
      </c>
      <c r="T21">
        <f>(CN5+CO5+CP5+CQ5+CR5)/5</f>
        <v>7.2</v>
      </c>
      <c r="U21">
        <f>(CS5+CT5+CU5+CV5+CW5)/5</f>
        <v>8.4</v>
      </c>
      <c r="V21">
        <f>(CX5+CY5+CZ5+DA5+DB5)/5</f>
        <v>11.4</v>
      </c>
      <c r="W21" s="17">
        <f>(DC5+DD5+DE5+DF5+DG5)/5</f>
        <v>0</v>
      </c>
    </row>
    <row r="22" spans="1:23" x14ac:dyDescent="0.2">
      <c r="A22" t="s">
        <v>32</v>
      </c>
      <c r="B22" s="16">
        <f>(B4+C4+D4+E4+F4)/5</f>
        <v>1.8</v>
      </c>
      <c r="C22">
        <f>(G4+H4+I4+J4+K4)/5</f>
        <v>4.2</v>
      </c>
      <c r="D22">
        <f>(L4+M4+N4+O4+P4)/5</f>
        <v>7.2</v>
      </c>
      <c r="E22">
        <f>(Q4+R4+S4+T4+U4)/5</f>
        <v>7.6</v>
      </c>
      <c r="F22">
        <f>(V4+W4+X4+Y4+Z4)/5</f>
        <v>7</v>
      </c>
      <c r="G22">
        <f>(AA4+AB4+AC4+AD4+AE4)/5</f>
        <v>6.2</v>
      </c>
      <c r="H22">
        <f>(AF4+AG4+AH4+AI4+AJ4)/5</f>
        <v>7.2</v>
      </c>
      <c r="I22">
        <f>(AK4+AL4+AM4+AN4+AO4)/5</f>
        <v>9</v>
      </c>
      <c r="J22">
        <f>(AP4+AQ4+AR4+AS4+AT4)/5</f>
        <v>8.1999999999999993</v>
      </c>
      <c r="K22">
        <f>(AU4+AV4+AW4+AX4+AY4)/5</f>
        <v>6.6</v>
      </c>
      <c r="L22" s="17">
        <f>(AZ5+BA5+BB5+BC5+BD5)/5</f>
        <v>0</v>
      </c>
      <c r="M22" s="16">
        <f>(BE4+BF4+BG4+BH4+BI4)/5</f>
        <v>7.4</v>
      </c>
      <c r="N22">
        <f>(BJ4+BK4+BL4+BM4+BN4)/5</f>
        <v>6.2</v>
      </c>
      <c r="O22">
        <f>(BO4+BP4+BQ4+BR4+BS4)/5</f>
        <v>5.6</v>
      </c>
      <c r="P22">
        <f>(BT4+BU4+BV4+BW4+BX4)/5</f>
        <v>5.2</v>
      </c>
      <c r="Q22">
        <f>(BY4+BZ4+CA4+CB4+CC4)/5</f>
        <v>6.4</v>
      </c>
      <c r="R22">
        <f>(CD4+CE4+CF4+CG4+CH4)/5</f>
        <v>7</v>
      </c>
      <c r="S22">
        <f>(CI4+CJ4+CK4+CL4+CM4)/5</f>
        <v>6.2</v>
      </c>
      <c r="T22">
        <f>(CN4+CO4+CP4+CQ4+CR4)/5</f>
        <v>4.5999999999999996</v>
      </c>
      <c r="U22">
        <f>(CS4+CT4+CU4+CV4+CW4)/5</f>
        <v>6.4</v>
      </c>
      <c r="V22">
        <f>(CX4+CY4+CZ4+DA4+DB4)/5</f>
        <v>7</v>
      </c>
      <c r="W22" s="17">
        <f>(DC4+DD4+DE4+DF4+DG4)/5</f>
        <v>0</v>
      </c>
    </row>
    <row r="23" spans="1:23" ht="17" thickBot="1" x14ac:dyDescent="0.25">
      <c r="A23" t="s">
        <v>48</v>
      </c>
      <c r="B23" s="18">
        <f>B6+C6+D6+E6+F6</f>
        <v>0</v>
      </c>
      <c r="C23" s="19">
        <v>0</v>
      </c>
      <c r="D23" s="19">
        <v>0</v>
      </c>
      <c r="E23" s="19">
        <v>0</v>
      </c>
      <c r="F23" s="19">
        <v>0</v>
      </c>
      <c r="G23" s="19">
        <v>11</v>
      </c>
      <c r="H23" s="19">
        <v>0</v>
      </c>
      <c r="I23" s="19">
        <v>0</v>
      </c>
      <c r="J23" s="19">
        <v>0</v>
      </c>
      <c r="K23" s="19">
        <v>0</v>
      </c>
      <c r="L23" s="20">
        <v>0</v>
      </c>
      <c r="M23" s="18">
        <v>0</v>
      </c>
      <c r="N23" s="19">
        <v>0</v>
      </c>
      <c r="O23" s="19">
        <v>0</v>
      </c>
      <c r="P23" s="19">
        <v>11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20">
        <v>0</v>
      </c>
    </row>
    <row r="26" spans="1:23" x14ac:dyDescent="0.2"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</sheetData>
  <mergeCells count="22">
    <mergeCell ref="AA2:AE2"/>
    <mergeCell ref="B2:F2"/>
    <mergeCell ref="G2:K2"/>
    <mergeCell ref="L2:P2"/>
    <mergeCell ref="Q2:U2"/>
    <mergeCell ref="V2:Z2"/>
    <mergeCell ref="CD2:CH2"/>
    <mergeCell ref="AF2:AJ2"/>
    <mergeCell ref="AK2:AO2"/>
    <mergeCell ref="AP2:AT2"/>
    <mergeCell ref="AU2:AY2"/>
    <mergeCell ref="AZ2:BD2"/>
    <mergeCell ref="BE2:BI2"/>
    <mergeCell ref="BJ2:BN2"/>
    <mergeCell ref="BO2:BS2"/>
    <mergeCell ref="BT2:BX2"/>
    <mergeCell ref="BY2:CC2"/>
    <mergeCell ref="CI2:CM2"/>
    <mergeCell ref="CN2:CR2"/>
    <mergeCell ref="CS2:CW2"/>
    <mergeCell ref="CX2:DB2"/>
    <mergeCell ref="DC2:DG2"/>
  </mergeCells>
  <phoneticPr fontId="5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D995-F5FF-DF42-9576-0A3BFC856E14}">
  <dimension ref="A3:L17"/>
  <sheetViews>
    <sheetView workbookViewId="0">
      <selection activeCell="B14" sqref="B14"/>
    </sheetView>
  </sheetViews>
  <sheetFormatPr baseColWidth="10" defaultRowHeight="16" x14ac:dyDescent="0.2"/>
  <cols>
    <col min="1" max="1" width="12.83203125" bestFit="1" customWidth="1"/>
  </cols>
  <sheetData>
    <row r="3" spans="1:12" x14ac:dyDescent="0.2">
      <c r="I3" s="3" t="s">
        <v>46</v>
      </c>
    </row>
    <row r="5" spans="1:12" x14ac:dyDescent="0.2">
      <c r="A5" s="1" t="s">
        <v>34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J5" t="s">
        <v>23</v>
      </c>
      <c r="K5" t="s">
        <v>50</v>
      </c>
      <c r="L5" t="s">
        <v>51</v>
      </c>
    </row>
    <row r="6" spans="1:12" x14ac:dyDescent="0.2">
      <c r="A6" s="8">
        <v>46033</v>
      </c>
      <c r="B6" s="7">
        <v>8</v>
      </c>
      <c r="C6" s="7">
        <v>6</v>
      </c>
      <c r="D6" s="7">
        <v>7</v>
      </c>
      <c r="E6" s="7">
        <v>6</v>
      </c>
      <c r="F6" s="7">
        <v>7</v>
      </c>
      <c r="I6" t="s">
        <v>35</v>
      </c>
      <c r="J6">
        <f>'VAC Average'!B6+'VAC Average'!C6+'VAC Average'!D6+'VAC Average'!E6+'VAC Average'!F6</f>
        <v>34</v>
      </c>
      <c r="K6">
        <v>5</v>
      </c>
      <c r="L6">
        <f t="shared" ref="L6:L17" si="0">J6/K6</f>
        <v>6.8</v>
      </c>
    </row>
    <row r="7" spans="1:12" x14ac:dyDescent="0.2">
      <c r="A7" s="8">
        <v>46040</v>
      </c>
      <c r="B7" s="7">
        <v>7</v>
      </c>
      <c r="C7" s="7">
        <v>7</v>
      </c>
      <c r="D7" s="7">
        <v>9</v>
      </c>
      <c r="E7" s="7">
        <v>8</v>
      </c>
      <c r="F7" s="7">
        <v>8</v>
      </c>
      <c r="I7" t="s">
        <v>36</v>
      </c>
      <c r="J7">
        <f>'VAC Average'!B7+'VAC Average'!C7+'VAC Average'!D7+'VAC Average'!E7+'VAC Average'!F7</f>
        <v>39</v>
      </c>
      <c r="K7">
        <v>5</v>
      </c>
      <c r="L7">
        <f t="shared" si="0"/>
        <v>7.8</v>
      </c>
    </row>
    <row r="8" spans="1:12" x14ac:dyDescent="0.2">
      <c r="A8" s="8">
        <v>46047</v>
      </c>
      <c r="B8" s="7">
        <v>10</v>
      </c>
      <c r="C8" s="7">
        <v>9</v>
      </c>
      <c r="D8" s="7">
        <v>11</v>
      </c>
      <c r="E8" s="7">
        <v>9</v>
      </c>
      <c r="F8" s="7">
        <v>10</v>
      </c>
      <c r="I8" t="s">
        <v>37</v>
      </c>
      <c r="J8">
        <f>'VAC Average'!B8+'VAC Average'!C8+'VAC Average'!D8+'VAC Average'!E8+'VAC Average'!F8</f>
        <v>49</v>
      </c>
      <c r="K8">
        <v>5</v>
      </c>
      <c r="L8">
        <f t="shared" si="0"/>
        <v>9.8000000000000007</v>
      </c>
    </row>
    <row r="9" spans="1:12" x14ac:dyDescent="0.2">
      <c r="A9" s="8">
        <v>46054</v>
      </c>
      <c r="B9" s="7">
        <v>0</v>
      </c>
      <c r="C9" s="7">
        <v>5</v>
      </c>
      <c r="D9" s="7">
        <v>0</v>
      </c>
      <c r="E9" s="7">
        <v>0</v>
      </c>
      <c r="F9" s="7">
        <v>0</v>
      </c>
      <c r="I9" t="s">
        <v>38</v>
      </c>
      <c r="J9">
        <f>'VAC Average'!B9+'VAC Average'!C9+'VAC Average'!D9+'VAC Average'!E9+'VAC Average'!F9</f>
        <v>5</v>
      </c>
      <c r="K9">
        <v>1</v>
      </c>
      <c r="L9">
        <f t="shared" si="0"/>
        <v>5</v>
      </c>
    </row>
    <row r="10" spans="1:12" x14ac:dyDescent="0.2">
      <c r="A10" s="9">
        <v>46124</v>
      </c>
      <c r="B10" s="7">
        <v>0</v>
      </c>
      <c r="C10" s="7">
        <v>7</v>
      </c>
      <c r="D10" s="7">
        <v>6</v>
      </c>
      <c r="E10" s="7">
        <v>10</v>
      </c>
      <c r="F10" s="7">
        <v>9</v>
      </c>
      <c r="I10" t="s">
        <v>39</v>
      </c>
      <c r="J10">
        <f>'VAC Average'!B10+'VAC Average'!C10+'VAC Average'!D10+'VAC Average'!E10+'VAC Average'!F10</f>
        <v>32</v>
      </c>
      <c r="K10">
        <v>4</v>
      </c>
      <c r="L10">
        <f t="shared" si="0"/>
        <v>8</v>
      </c>
    </row>
    <row r="11" spans="1:12" x14ac:dyDescent="0.2">
      <c r="A11" s="9">
        <v>46131</v>
      </c>
      <c r="B11" s="7">
        <v>8</v>
      </c>
      <c r="C11" s="7">
        <v>8</v>
      </c>
      <c r="D11" s="7">
        <v>9</v>
      </c>
      <c r="E11" s="7">
        <v>7</v>
      </c>
      <c r="F11" s="7">
        <v>9</v>
      </c>
      <c r="I11" t="s">
        <v>40</v>
      </c>
      <c r="J11">
        <f>'VAC Average'!B11+'VAC Average'!C11+'VAC Average'!D11+'VAC Average'!E11+'VAC Average'!F11</f>
        <v>41</v>
      </c>
      <c r="K11">
        <v>5</v>
      </c>
      <c r="L11">
        <f t="shared" si="0"/>
        <v>8.1999999999999993</v>
      </c>
    </row>
    <row r="12" spans="1:12" x14ac:dyDescent="0.2">
      <c r="A12" s="5">
        <v>46202</v>
      </c>
      <c r="B12" s="7">
        <v>9</v>
      </c>
      <c r="C12" s="7">
        <v>14</v>
      </c>
      <c r="D12" s="7">
        <v>9</v>
      </c>
      <c r="E12" s="7">
        <v>6</v>
      </c>
      <c r="F12" s="7">
        <v>11</v>
      </c>
      <c r="I12" t="s">
        <v>41</v>
      </c>
      <c r="J12">
        <f>'VAC Average'!B12+'VAC Average'!C12+'VAC Average'!D12+'VAC Average'!E12+'VAC Average'!F12</f>
        <v>49</v>
      </c>
      <c r="K12">
        <v>5</v>
      </c>
      <c r="L12">
        <f t="shared" si="0"/>
        <v>9.8000000000000007</v>
      </c>
    </row>
    <row r="13" spans="1:12" x14ac:dyDescent="0.2">
      <c r="A13" s="10">
        <v>46215</v>
      </c>
      <c r="B13" s="7">
        <v>16</v>
      </c>
      <c r="C13" s="7">
        <v>10</v>
      </c>
      <c r="D13" s="7">
        <v>9</v>
      </c>
      <c r="E13" s="7">
        <v>9</v>
      </c>
      <c r="F13" s="7">
        <v>7</v>
      </c>
      <c r="I13" t="s">
        <v>42</v>
      </c>
      <c r="J13">
        <f>'VAC Average'!B13+'VAC Average'!C13+'VAC Average'!D13+'VAC Average'!E13+'VAC Average'!F13</f>
        <v>51</v>
      </c>
      <c r="K13">
        <v>5</v>
      </c>
      <c r="L13">
        <f t="shared" si="0"/>
        <v>10.199999999999999</v>
      </c>
    </row>
    <row r="14" spans="1:12" x14ac:dyDescent="0.2">
      <c r="B14" s="7"/>
      <c r="I14" t="s">
        <v>43</v>
      </c>
      <c r="J14">
        <f>'OSHC Data'!B30+'OSHC Data'!C30+'OSHC Data'!D30+'OSHC Data'!E30+'OSHC Data'!F30</f>
        <v>0</v>
      </c>
      <c r="K14">
        <v>0</v>
      </c>
      <c r="L14" t="e">
        <f t="shared" si="0"/>
        <v>#DIV/0!</v>
      </c>
    </row>
    <row r="15" spans="1:12" x14ac:dyDescent="0.2">
      <c r="I15" t="s">
        <v>44</v>
      </c>
      <c r="J15">
        <f>'OSHC Data'!B31+'OSHC Data'!C31+'OSHC Data'!D31+'OSHC Data'!E31+'OSHC Data'!F31</f>
        <v>0</v>
      </c>
      <c r="K15">
        <v>0</v>
      </c>
      <c r="L15" t="e">
        <f t="shared" si="0"/>
        <v>#DIV/0!</v>
      </c>
    </row>
    <row r="16" spans="1:12" x14ac:dyDescent="0.2">
      <c r="I16" t="s">
        <v>45</v>
      </c>
      <c r="J16">
        <f>'OSHC Data'!B32+'OSHC Data'!C32+'OSHC Data'!D32+'OSHC Data'!E32+'OSHC Data'!F32</f>
        <v>0</v>
      </c>
      <c r="K16">
        <v>0</v>
      </c>
      <c r="L16" t="e">
        <f t="shared" si="0"/>
        <v>#DIV/0!</v>
      </c>
    </row>
    <row r="17" spans="9:12" x14ac:dyDescent="0.2">
      <c r="I17" t="s">
        <v>52</v>
      </c>
      <c r="J17">
        <f>'OSHC Data'!B9+'OSHC Data'!C9+'OSHC Data'!D9+'OSHC Data'!E9+'OSHC Data'!F9</f>
        <v>0</v>
      </c>
      <c r="K17">
        <v>0</v>
      </c>
      <c r="L17" t="e">
        <f t="shared" si="0"/>
        <v>#DIV/0!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 Copy (print)</vt:lpstr>
      <vt:lpstr>OSHC Data</vt:lpstr>
      <vt:lpstr>VAC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Fully Promoted Frankston</dc:creator>
  <cp:lastModifiedBy>Fully Promoted Frankston</cp:lastModifiedBy>
  <cp:lastPrinted>2026-08-11T02:42:24Z</cp:lastPrinted>
  <dcterms:created xsi:type="dcterms:W3CDTF">2026-08-11T00:42:41Z</dcterms:created>
  <dcterms:modified xsi:type="dcterms:W3CDTF">2026-08-11T03:04:14Z</dcterms:modified>
</cp:coreProperties>
</file>